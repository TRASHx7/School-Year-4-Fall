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ngyue.sun.UC.000.001\Downloads\"/>
    </mc:Choice>
  </mc:AlternateContent>
  <bookViews>
    <workbookView xWindow="0" yWindow="0" windowWidth="18540" windowHeight="10680" tabRatio="599"/>
  </bookViews>
  <sheets>
    <sheet name="Data and Analysis steps" sheetId="2" r:id="rId1"/>
    <sheet name="Unceratinties" sheetId="6" r:id="rId2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4" i="2" l="1"/>
  <c r="D44" i="2"/>
  <c r="E43" i="2"/>
  <c r="D43" i="2"/>
  <c r="E42" i="2"/>
  <c r="D42" i="2"/>
  <c r="E41" i="2"/>
  <c r="D41" i="2"/>
  <c r="E40" i="2"/>
  <c r="D40" i="2"/>
  <c r="E39" i="2"/>
  <c r="D39" i="2"/>
  <c r="E23" i="2"/>
  <c r="E24" i="2"/>
  <c r="E25" i="2"/>
  <c r="E26" i="2"/>
  <c r="E27" i="2"/>
  <c r="E28" i="2"/>
  <c r="D24" i="2"/>
  <c r="D25" i="2"/>
  <c r="D26" i="2"/>
  <c r="D27" i="2"/>
  <c r="D28" i="2"/>
  <c r="D23" i="2"/>
  <c r="F27" i="2" l="1"/>
  <c r="G27" i="2" s="1"/>
  <c r="F28" i="2"/>
  <c r="G28" i="2" s="1"/>
  <c r="F26" i="2"/>
  <c r="G26" i="2" s="1"/>
  <c r="F23" i="2"/>
  <c r="G23" i="2" s="1"/>
  <c r="F25" i="2"/>
  <c r="G25" i="2" s="1"/>
  <c r="F24" i="2"/>
  <c r="G24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</calcChain>
</file>

<file path=xl/sharedStrings.xml><?xml version="1.0" encoding="utf-8"?>
<sst xmlns="http://schemas.openxmlformats.org/spreadsheetml/2006/main" count="66" uniqueCount="40">
  <si>
    <t>Uncertainty in the angle measurement</t>
  </si>
  <si>
    <t>Notes and observations from the setup and alignment of the spectroscope</t>
  </si>
  <si>
    <t>Table 1</t>
  </si>
  <si>
    <t>[insert caption]</t>
  </si>
  <si>
    <t>[m]</t>
  </si>
  <si>
    <r>
      <rPr>
        <b/>
        <sz val="11"/>
        <color theme="0"/>
        <rFont val="Symbol"/>
        <family val="1"/>
        <charset val="2"/>
      </rPr>
      <t>l</t>
    </r>
    <r>
      <rPr>
        <b/>
        <vertAlign val="subscript"/>
        <sz val="11"/>
        <color theme="0"/>
        <rFont val="Calibri"/>
        <family val="2"/>
        <scheme val="minor"/>
      </rPr>
      <t>theoretical</t>
    </r>
  </si>
  <si>
    <r>
      <rPr>
        <b/>
        <sz val="11"/>
        <color theme="0"/>
        <rFont val="Symbol"/>
        <family val="1"/>
        <charset val="2"/>
      </rPr>
      <t>q</t>
    </r>
    <r>
      <rPr>
        <b/>
        <vertAlign val="subscript"/>
        <sz val="11"/>
        <color theme="0"/>
        <rFont val="Calibri"/>
        <family val="2"/>
        <scheme val="minor"/>
      </rPr>
      <t>left</t>
    </r>
  </si>
  <si>
    <r>
      <rPr>
        <b/>
        <sz val="11"/>
        <color theme="0"/>
        <rFont val="Symbol"/>
        <family val="1"/>
        <charset val="2"/>
      </rPr>
      <t>q</t>
    </r>
    <r>
      <rPr>
        <b/>
        <vertAlign val="subscript"/>
        <sz val="11"/>
        <color theme="0"/>
        <rFont val="Calibri"/>
        <family val="2"/>
        <scheme val="minor"/>
      </rPr>
      <t>right</t>
    </r>
  </si>
  <si>
    <r>
      <rPr>
        <b/>
        <sz val="11"/>
        <color theme="0"/>
        <rFont val="Symbol"/>
        <family val="1"/>
        <charset val="2"/>
      </rPr>
      <t>q</t>
    </r>
    <r>
      <rPr>
        <b/>
        <vertAlign val="subscript"/>
        <sz val="11"/>
        <color theme="0"/>
        <rFont val="Calibri"/>
        <family val="2"/>
        <scheme val="minor"/>
      </rPr>
      <t>average</t>
    </r>
  </si>
  <si>
    <r>
      <t>sin(</t>
    </r>
    <r>
      <rPr>
        <b/>
        <sz val="11"/>
        <color theme="0"/>
        <rFont val="Symbol"/>
        <family val="1"/>
        <charset val="2"/>
      </rPr>
      <t>q</t>
    </r>
    <r>
      <rPr>
        <b/>
        <sz val="11"/>
        <color theme="0"/>
        <rFont val="Calibri"/>
        <family val="2"/>
        <scheme val="minor"/>
      </rPr>
      <t>)</t>
    </r>
  </si>
  <si>
    <r>
      <t>[</t>
    </r>
    <r>
      <rPr>
        <b/>
        <vertAlign val="superscript"/>
        <sz val="11"/>
        <color theme="0"/>
        <rFont val="Calibri"/>
        <family val="2"/>
        <scheme val="minor"/>
      </rPr>
      <t>o</t>
    </r>
    <r>
      <rPr>
        <b/>
        <sz val="11"/>
        <color theme="0"/>
        <rFont val="Calibri"/>
        <family val="2"/>
        <scheme val="minor"/>
      </rPr>
      <t>]</t>
    </r>
  </si>
  <si>
    <t>Angle of the centre maximum:</t>
  </si>
  <si>
    <r>
      <rPr>
        <b/>
        <sz val="11"/>
        <color theme="0"/>
        <rFont val="Symbol"/>
        <family val="1"/>
        <charset val="2"/>
      </rPr>
      <t>q</t>
    </r>
    <r>
      <rPr>
        <b/>
        <vertAlign val="subscript"/>
        <sz val="11"/>
        <color theme="0"/>
        <rFont val="Calibri"/>
        <family val="2"/>
        <scheme val="minor"/>
      </rPr>
      <t>left(raw)</t>
    </r>
  </si>
  <si>
    <r>
      <rPr>
        <b/>
        <sz val="11"/>
        <color theme="0"/>
        <rFont val="Symbol"/>
        <family val="1"/>
        <charset val="2"/>
      </rPr>
      <t>q</t>
    </r>
    <r>
      <rPr>
        <b/>
        <vertAlign val="subscript"/>
        <sz val="11"/>
        <color theme="0"/>
        <rFont val="Calibri"/>
        <family val="2"/>
        <scheme val="minor"/>
      </rPr>
      <t>right(raw)</t>
    </r>
  </si>
  <si>
    <t>Uncertainty in the line density</t>
  </si>
  <si>
    <t>Data from hydrogen lamp</t>
  </si>
  <si>
    <t>Colour</t>
  </si>
  <si>
    <t>Table 2</t>
  </si>
  <si>
    <t>Table 3</t>
  </si>
  <si>
    <r>
      <t>u(sin(</t>
    </r>
    <r>
      <rPr>
        <b/>
        <sz val="11"/>
        <color theme="0"/>
        <rFont val="Symbol"/>
        <family val="1"/>
        <charset val="2"/>
      </rPr>
      <t>q</t>
    </r>
    <r>
      <rPr>
        <b/>
        <sz val="11"/>
        <color theme="0"/>
        <rFont val="Calibri"/>
        <family val="2"/>
        <scheme val="minor"/>
      </rPr>
      <t>))</t>
    </r>
  </si>
  <si>
    <t>n</t>
  </si>
  <si>
    <r>
      <t>n</t>
    </r>
    <r>
      <rPr>
        <b/>
        <vertAlign val="superscript"/>
        <sz val="11"/>
        <color theme="0"/>
        <rFont val="Calibri"/>
        <family val="2"/>
        <scheme val="minor"/>
      </rPr>
      <t>-2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</si>
  <si>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calc</t>
    </r>
  </si>
  <si>
    <r>
      <t>l</t>
    </r>
    <r>
      <rPr>
        <b/>
        <vertAlign val="superscript"/>
        <sz val="11"/>
        <color theme="0"/>
        <rFont val="Symbol"/>
        <family val="1"/>
        <charset val="2"/>
      </rPr>
      <t>-1</t>
    </r>
    <r>
      <rPr>
        <b/>
        <vertAlign val="subscript"/>
        <sz val="11"/>
        <color theme="0"/>
        <rFont val="Calibri"/>
        <family val="2"/>
        <scheme val="minor"/>
      </rPr>
      <t>calc</t>
    </r>
  </si>
  <si>
    <r>
      <rPr>
        <b/>
        <sz val="11"/>
        <color theme="0"/>
        <rFont val="Calibri"/>
        <family val="2"/>
        <scheme val="minor"/>
      </rPr>
      <t>u</t>
    </r>
    <r>
      <rPr>
        <b/>
        <sz val="11"/>
        <color theme="0"/>
        <rFont val="Symbol"/>
        <family val="1"/>
        <charset val="2"/>
      </rPr>
      <t>(l</t>
    </r>
    <r>
      <rPr>
        <b/>
        <vertAlign val="subscript"/>
        <sz val="11"/>
        <color theme="0"/>
        <rFont val="Calibri"/>
        <family val="2"/>
        <scheme val="minor"/>
      </rPr>
      <t>calc</t>
    </r>
    <r>
      <rPr>
        <b/>
        <sz val="11"/>
        <color theme="0"/>
        <rFont val="Symbol"/>
        <family val="1"/>
        <charset val="2"/>
      </rPr>
      <t>)</t>
    </r>
  </si>
  <si>
    <r>
      <rPr>
        <b/>
        <sz val="11"/>
        <color theme="0"/>
        <rFont val="Calibri"/>
        <family val="2"/>
        <scheme val="minor"/>
      </rPr>
      <t>u</t>
    </r>
    <r>
      <rPr>
        <b/>
        <sz val="11"/>
        <color theme="0"/>
        <rFont val="Symbol"/>
        <family val="1"/>
        <charset val="2"/>
      </rPr>
      <t>(l</t>
    </r>
    <r>
      <rPr>
        <b/>
        <vertAlign val="superscript"/>
        <sz val="11"/>
        <color theme="0"/>
        <rFont val="Symbol"/>
        <family val="1"/>
        <charset val="2"/>
      </rPr>
      <t>-1</t>
    </r>
    <r>
      <rPr>
        <b/>
        <vertAlign val="subscript"/>
        <sz val="11"/>
        <color theme="0"/>
        <rFont val="Calibri"/>
        <family val="2"/>
        <scheme val="minor"/>
      </rPr>
      <t>calc</t>
    </r>
    <r>
      <rPr>
        <b/>
        <sz val="11"/>
        <color theme="0"/>
        <rFont val="Symbol"/>
        <family val="1"/>
        <charset val="2"/>
      </rPr>
      <t>)</t>
    </r>
  </si>
  <si>
    <t>Data from the performance check of the diffraction grating (calibration source).</t>
  </si>
  <si>
    <t>Analysis of the hydrogen spectrum</t>
  </si>
  <si>
    <r>
      <t>u(</t>
    </r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)=</t>
    </r>
  </si>
  <si>
    <t>u(#)=</t>
  </si>
  <si>
    <t>u(d)=</t>
  </si>
  <si>
    <t>Uncertainty in the line spacing</t>
  </si>
  <si>
    <t>input equation here</t>
  </si>
  <si>
    <t>convert to radians</t>
  </si>
  <si>
    <t>refer to the write-up</t>
  </si>
  <si>
    <t>Data to obtain wavelengths in Balmer Series and Rydberg Constant</t>
  </si>
  <si>
    <t>(calculated from the line density)</t>
  </si>
  <si>
    <t xml:space="preserve">Use the line fitting template for your calibration graph </t>
  </si>
  <si>
    <t>In your report include Rydberg's constant calculations and calculations of the ionization energy</t>
  </si>
  <si>
    <t xml:space="preserve">Use the line fitting template for your Hydrogen graph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</si>
</sst>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0"/>
      <name val="Calibri"/>
      <family val="1"/>
      <charset val="2"/>
      <scheme val="minor"/>
    </font>
    <font>
      <b/>
      <sz val="11"/>
      <color theme="0"/>
      <name val="Symbol"/>
      <family val="1"/>
      <charset val="2"/>
    </font>
    <font>
      <b/>
      <vertAlign val="sub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b/>
      <sz val="11"/>
      <color theme="0"/>
      <name val="Symbol"/>
      <family val="2"/>
      <charset val="2"/>
    </font>
    <font>
      <b/>
      <vertAlign val="superscript"/>
      <sz val="11"/>
      <color theme="0"/>
      <name val="Symbol"/>
      <family val="1"/>
      <charset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Border="1"/>
    <xf numFmtId="0" fontId="0" fillId="3" borderId="0" xfId="0" applyFill="1"/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Fill="1"/>
    <xf numFmtId="0" fontId="0" fillId="0" borderId="0" xfId="0" applyFill="1" applyAlignment="1"/>
    <xf numFmtId="0" fontId="1" fillId="2" borderId="0" xfId="0" applyFont="1" applyFill="1"/>
    <xf numFmtId="0" fontId="0" fillId="3" borderId="2" xfId="0" applyFill="1" applyBorder="1"/>
    <xf numFmtId="0" fontId="0" fillId="3" borderId="2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0" borderId="3" xfId="0" applyBorder="1"/>
    <xf numFmtId="0" fontId="1" fillId="2" borderId="2" xfId="0" applyFont="1" applyFill="1" applyBorder="1"/>
    <xf numFmtId="0" fontId="8" fillId="2" borderId="0" xfId="0" applyFont="1" applyFill="1" applyAlignment="1"/>
    <xf numFmtId="0" fontId="1" fillId="2" borderId="0" xfId="0" applyFont="1" applyFill="1" applyAlignment="1"/>
    <xf numFmtId="0" fontId="0" fillId="3" borderId="2" xfId="0" applyFill="1" applyBorder="1" applyAlignment="1"/>
    <xf numFmtId="0" fontId="0" fillId="0" borderId="2" xfId="0" applyFill="1" applyBorder="1" applyAlignment="1"/>
    <xf numFmtId="11" fontId="0" fillId="3" borderId="2" xfId="0" applyNumberFormat="1" applyFill="1" applyBorder="1" applyAlignment="1">
      <alignment horizontal="center"/>
    </xf>
    <xf numFmtId="11" fontId="0" fillId="3" borderId="2" xfId="0" applyNumberFormat="1" applyFill="1" applyBorder="1" applyAlignment="1"/>
    <xf numFmtId="0" fontId="0" fillId="5" borderId="0" xfId="0" applyFill="1"/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30956</xdr:colOff>
      <xdr:row>8</xdr:row>
      <xdr:rowOff>9524</xdr:rowOff>
    </xdr:from>
    <xdr:ext cx="372189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6527006" y="1533524"/>
              <a:ext cx="3721894" cy="172227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100" b="0" i="1">
                        <a:latin typeface="Cambria Math" panose="02040503050406030204" pitchFamily="18" charset="0"/>
                      </a:rPr>
                      <m:t>𝑢</m:t>
                    </m:r>
                    <m:d>
                      <m:dPr>
                        <m:ctrlPr>
                          <a:rPr lang="en-CA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</m:d>
                    <m:r>
                      <a:rPr lang="en-CA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6527006" y="1533524"/>
              <a:ext cx="3721894" cy="172227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CA" sz="1100" b="0" i="0">
                  <a:latin typeface="Cambria Math" panose="02040503050406030204" pitchFamily="18" charset="0"/>
                </a:rPr>
                <a:t>𝑢(𝑑)=</a:t>
              </a:r>
              <a:endParaRPr lang="en-CA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Views>
    <sheetView tabSelected="1" topLeftCell="A19" zoomScale="89" zoomScaleNormal="89" workbookViewId="0">
      <selection activeCell="M25" sqref="M25"/>
    </sheetView>
  </sheetViews>
  <sheetFormatPr defaultColWidth="8.85546875" defaultRowHeight="15"/>
  <sheetData>
    <row r="1" spans="1:9">
      <c r="A1" s="35" t="s">
        <v>1</v>
      </c>
      <c r="B1" s="35"/>
      <c r="C1" s="35"/>
      <c r="D1" s="35"/>
      <c r="E1" s="35"/>
      <c r="F1" s="35"/>
      <c r="G1" s="35"/>
      <c r="H1" s="35"/>
      <c r="I1" s="35"/>
    </row>
    <row r="2" spans="1:9">
      <c r="A2" s="36"/>
      <c r="B2" s="36"/>
      <c r="C2" s="36"/>
      <c r="D2" s="36"/>
      <c r="E2" s="36"/>
      <c r="F2" s="36"/>
      <c r="G2" s="36"/>
      <c r="H2" s="36"/>
      <c r="I2" s="36"/>
    </row>
    <row r="3" spans="1:9">
      <c r="A3" s="36"/>
      <c r="B3" s="36"/>
      <c r="C3" s="36"/>
      <c r="D3" s="36"/>
      <c r="E3" s="36"/>
      <c r="F3" s="36"/>
      <c r="G3" s="36"/>
      <c r="H3" s="36"/>
      <c r="I3" s="36"/>
    </row>
    <row r="4" spans="1:9">
      <c r="A4" s="36"/>
      <c r="B4" s="36"/>
      <c r="C4" s="36"/>
      <c r="D4" s="36"/>
      <c r="E4" s="36"/>
      <c r="F4" s="36"/>
      <c r="G4" s="36"/>
      <c r="H4" s="36"/>
      <c r="I4" s="36"/>
    </row>
    <row r="5" spans="1:9">
      <c r="A5" s="36"/>
      <c r="B5" s="36"/>
      <c r="C5" s="36"/>
      <c r="D5" s="36"/>
      <c r="E5" s="36"/>
      <c r="F5" s="36"/>
      <c r="G5" s="36"/>
      <c r="H5" s="36"/>
      <c r="I5" s="36"/>
    </row>
    <row r="6" spans="1:9">
      <c r="A6" s="36"/>
      <c r="B6" s="36"/>
      <c r="C6" s="36"/>
      <c r="D6" s="36"/>
      <c r="E6" s="36"/>
      <c r="F6" s="36"/>
      <c r="G6" s="36"/>
      <c r="H6" s="36"/>
      <c r="I6" s="36"/>
    </row>
    <row r="7" spans="1:9">
      <c r="A7" s="36"/>
      <c r="B7" s="36"/>
      <c r="C7" s="36"/>
      <c r="D7" s="36"/>
      <c r="E7" s="36"/>
      <c r="F7" s="36"/>
      <c r="G7" s="36"/>
      <c r="H7" s="36"/>
      <c r="I7" s="36"/>
    </row>
    <row r="8" spans="1:9">
      <c r="A8" s="36"/>
      <c r="B8" s="36"/>
      <c r="C8" s="36"/>
      <c r="D8" s="36"/>
      <c r="E8" s="36"/>
      <c r="F8" s="36"/>
      <c r="G8" s="36"/>
      <c r="H8" s="36"/>
      <c r="I8" s="36"/>
    </row>
    <row r="9" spans="1:9">
      <c r="A9" s="36"/>
      <c r="B9" s="36"/>
      <c r="C9" s="36"/>
      <c r="D9" s="36"/>
      <c r="E9" s="36"/>
      <c r="F9" s="36"/>
      <c r="G9" s="36"/>
      <c r="H9" s="36"/>
      <c r="I9" s="36"/>
    </row>
    <row r="10" spans="1:9">
      <c r="A10" s="36"/>
      <c r="B10" s="36"/>
      <c r="C10" s="36"/>
      <c r="D10" s="36"/>
      <c r="E10" s="36"/>
      <c r="F10" s="36"/>
      <c r="G10" s="36"/>
      <c r="H10" s="36"/>
      <c r="I10" s="36"/>
    </row>
    <row r="11" spans="1:9">
      <c r="A11" s="36"/>
      <c r="B11" s="36"/>
      <c r="C11" s="36"/>
      <c r="D11" s="36"/>
      <c r="E11" s="36"/>
      <c r="F11" s="36"/>
      <c r="G11" s="36"/>
      <c r="H11" s="36"/>
      <c r="I11" s="36"/>
    </row>
    <row r="12" spans="1:9">
      <c r="A12" s="36"/>
      <c r="B12" s="36"/>
      <c r="C12" s="36"/>
      <c r="D12" s="36"/>
      <c r="E12" s="36"/>
      <c r="F12" s="36"/>
      <c r="G12" s="36"/>
      <c r="H12" s="36"/>
      <c r="I12" s="36"/>
    </row>
    <row r="13" spans="1:9">
      <c r="A13" s="36"/>
      <c r="B13" s="36"/>
      <c r="C13" s="36"/>
      <c r="D13" s="36"/>
      <c r="E13" s="36"/>
      <c r="F13" s="36"/>
      <c r="G13" s="36"/>
      <c r="H13" s="36"/>
      <c r="I13" s="36"/>
    </row>
    <row r="14" spans="1:9">
      <c r="A14" s="36"/>
      <c r="B14" s="36"/>
      <c r="C14" s="36"/>
      <c r="D14" s="36"/>
      <c r="E14" s="36"/>
      <c r="F14" s="36"/>
      <c r="G14" s="36"/>
      <c r="H14" s="36"/>
      <c r="I14" s="36"/>
    </row>
    <row r="15" spans="1:9">
      <c r="A15" s="9" t="s">
        <v>26</v>
      </c>
      <c r="B15" s="9"/>
      <c r="C15" s="9"/>
      <c r="D15" s="9"/>
      <c r="E15" s="9"/>
      <c r="F15" s="9"/>
      <c r="G15" s="9"/>
      <c r="H15" s="9"/>
      <c r="I15" s="9"/>
    </row>
    <row r="16" spans="1:9">
      <c r="A16" s="9"/>
      <c r="B16" s="9"/>
      <c r="C16" s="9"/>
      <c r="D16" s="9"/>
      <c r="E16" s="9"/>
      <c r="F16" s="9"/>
      <c r="G16" s="9"/>
      <c r="H16" s="9"/>
      <c r="I16" s="9"/>
    </row>
    <row r="17" spans="1:16">
      <c r="A17" s="31" t="s">
        <v>11</v>
      </c>
      <c r="B17" s="31"/>
      <c r="C17" s="31"/>
      <c r="D17" s="31"/>
      <c r="E17" s="31"/>
      <c r="F17" s="2"/>
    </row>
    <row r="18" spans="1:16">
      <c r="A18" s="3"/>
      <c r="B18" s="3"/>
      <c r="C18" s="3"/>
      <c r="D18" s="3"/>
      <c r="E18" s="3"/>
      <c r="F18" s="10"/>
    </row>
    <row r="19" spans="1:16">
      <c r="A19" s="32" t="s">
        <v>2</v>
      </c>
      <c r="B19" s="30" t="s">
        <v>3</v>
      </c>
      <c r="C19" s="30"/>
      <c r="D19" s="30"/>
      <c r="E19" s="30"/>
      <c r="F19" s="30"/>
      <c r="G19" s="30"/>
      <c r="H19" s="30"/>
      <c r="I19" s="30"/>
    </row>
    <row r="20" spans="1:16">
      <c r="A20" s="33"/>
      <c r="B20" s="34"/>
      <c r="C20" s="34"/>
      <c r="D20" s="34"/>
      <c r="E20" s="34"/>
      <c r="F20" s="34"/>
      <c r="G20" s="34"/>
      <c r="H20" s="34"/>
      <c r="I20" s="34"/>
    </row>
    <row r="21" spans="1:16" ht="18">
      <c r="B21" s="4" t="s">
        <v>12</v>
      </c>
      <c r="C21" s="4" t="s">
        <v>13</v>
      </c>
      <c r="D21" s="4" t="s">
        <v>6</v>
      </c>
      <c r="E21" s="4" t="s">
        <v>7</v>
      </c>
      <c r="F21" s="4" t="s">
        <v>8</v>
      </c>
      <c r="G21" s="5" t="s">
        <v>9</v>
      </c>
      <c r="H21" s="12" t="s">
        <v>19</v>
      </c>
      <c r="I21" s="4" t="s">
        <v>5</v>
      </c>
      <c r="J21" s="5" t="s">
        <v>16</v>
      </c>
    </row>
    <row r="22" spans="1:16" ht="21">
      <c r="B22" s="5" t="s">
        <v>10</v>
      </c>
      <c r="C22" s="5" t="s">
        <v>10</v>
      </c>
      <c r="D22" s="5" t="s">
        <v>10</v>
      </c>
      <c r="E22" s="5" t="s">
        <v>10</v>
      </c>
      <c r="F22" s="5" t="s">
        <v>10</v>
      </c>
      <c r="G22" s="5"/>
      <c r="H22" s="12"/>
      <c r="I22" s="5" t="s">
        <v>4</v>
      </c>
      <c r="J22" s="5"/>
      <c r="K22" s="28" t="s">
        <v>37</v>
      </c>
      <c r="L22" s="28"/>
      <c r="M22" s="28"/>
      <c r="N22" s="28"/>
      <c r="O22" s="28"/>
      <c r="P22" s="28"/>
    </row>
    <row r="23" spans="1:16">
      <c r="B23" s="6"/>
      <c r="C23" s="6"/>
      <c r="D23" s="7">
        <f>ABS(B23-$F$17)</f>
        <v>0</v>
      </c>
      <c r="E23" s="7">
        <f>ABS(C23-$F$17)</f>
        <v>0</v>
      </c>
      <c r="F23" s="8">
        <f>AVERAGE(D23:E23)</f>
        <v>0</v>
      </c>
      <c r="G23" s="8">
        <f t="shared" ref="G23:G28" si="0">SIN(F23*PI()/180)</f>
        <v>0</v>
      </c>
      <c r="H23" s="14"/>
      <c r="I23" s="24"/>
      <c r="J23" s="6"/>
    </row>
    <row r="24" spans="1:16">
      <c r="B24" s="6"/>
      <c r="C24" s="6"/>
      <c r="D24" s="7">
        <f t="shared" ref="D24:E28" si="1">ABS(B24-$F$17)</f>
        <v>0</v>
      </c>
      <c r="E24" s="7">
        <f t="shared" si="1"/>
        <v>0</v>
      </c>
      <c r="F24" s="8">
        <f t="shared" ref="F24:F28" si="2">AVERAGE(D24:E24)</f>
        <v>0</v>
      </c>
      <c r="G24" s="8">
        <f t="shared" si="0"/>
        <v>0</v>
      </c>
      <c r="H24" s="14"/>
      <c r="I24" s="24"/>
      <c r="J24" s="6"/>
    </row>
    <row r="25" spans="1:16">
      <c r="B25" s="6"/>
      <c r="C25" s="6"/>
      <c r="D25" s="7">
        <f t="shared" si="1"/>
        <v>0</v>
      </c>
      <c r="E25" s="7">
        <f t="shared" si="1"/>
        <v>0</v>
      </c>
      <c r="F25" s="8">
        <f t="shared" si="2"/>
        <v>0</v>
      </c>
      <c r="G25" s="8">
        <f t="shared" si="0"/>
        <v>0</v>
      </c>
      <c r="H25" s="14"/>
      <c r="I25" s="24"/>
      <c r="J25" s="6"/>
    </row>
    <row r="26" spans="1:16">
      <c r="B26" s="6"/>
      <c r="C26" s="6"/>
      <c r="D26" s="7">
        <f t="shared" si="1"/>
        <v>0</v>
      </c>
      <c r="E26" s="7">
        <f t="shared" si="1"/>
        <v>0</v>
      </c>
      <c r="F26" s="8">
        <f t="shared" si="2"/>
        <v>0</v>
      </c>
      <c r="G26" s="8">
        <f t="shared" si="0"/>
        <v>0</v>
      </c>
      <c r="H26" s="14"/>
      <c r="I26" s="24"/>
      <c r="J26" s="6"/>
    </row>
    <row r="27" spans="1:16">
      <c r="B27" s="6"/>
      <c r="C27" s="6"/>
      <c r="D27" s="7">
        <f t="shared" si="1"/>
        <v>0</v>
      </c>
      <c r="E27" s="7">
        <f t="shared" si="1"/>
        <v>0</v>
      </c>
      <c r="F27" s="8">
        <f t="shared" si="2"/>
        <v>0</v>
      </c>
      <c r="G27" s="8">
        <f t="shared" si="0"/>
        <v>0</v>
      </c>
      <c r="H27" s="14"/>
      <c r="I27" s="6"/>
      <c r="J27" s="6"/>
    </row>
    <row r="28" spans="1:16">
      <c r="B28" s="6"/>
      <c r="C28" s="6"/>
      <c r="D28" s="7">
        <f t="shared" si="1"/>
        <v>0</v>
      </c>
      <c r="E28" s="7">
        <f t="shared" si="1"/>
        <v>0</v>
      </c>
      <c r="F28" s="8">
        <f t="shared" si="2"/>
        <v>0</v>
      </c>
      <c r="G28" s="8">
        <f t="shared" si="0"/>
        <v>0</v>
      </c>
      <c r="H28" s="14"/>
      <c r="I28" s="6"/>
      <c r="J28" s="6"/>
    </row>
    <row r="32" spans="1:16">
      <c r="A32" s="9" t="s">
        <v>15</v>
      </c>
      <c r="B32" s="9"/>
      <c r="C32" s="9"/>
      <c r="D32" s="9"/>
      <c r="E32" s="9"/>
      <c r="F32" s="9"/>
      <c r="G32" s="9"/>
      <c r="H32" s="9"/>
    </row>
    <row r="33" spans="1:20">
      <c r="A33" s="31" t="s">
        <v>11</v>
      </c>
      <c r="B33" s="31"/>
      <c r="C33" s="31"/>
      <c r="D33" s="31"/>
      <c r="E33" s="31"/>
      <c r="F33" s="2"/>
      <c r="K33" s="35" t="s">
        <v>27</v>
      </c>
      <c r="L33" s="35"/>
      <c r="M33" s="35"/>
      <c r="N33" s="35"/>
      <c r="O33" s="35"/>
      <c r="P33" s="35"/>
      <c r="Q33" s="35"/>
      <c r="R33" s="35"/>
      <c r="S33" s="35"/>
    </row>
    <row r="34" spans="1:20">
      <c r="A34" s="3"/>
      <c r="B34" s="3"/>
      <c r="C34" s="3"/>
      <c r="D34" s="3"/>
      <c r="E34" s="3"/>
      <c r="F34" s="10"/>
    </row>
    <row r="35" spans="1:20">
      <c r="A35" s="32" t="s">
        <v>17</v>
      </c>
      <c r="B35" s="30" t="s">
        <v>3</v>
      </c>
      <c r="C35" s="30"/>
      <c r="D35" s="30"/>
      <c r="E35" s="30"/>
      <c r="F35" s="30"/>
      <c r="G35" s="30"/>
      <c r="H35" s="30"/>
      <c r="I35" s="30"/>
      <c r="K35" t="s">
        <v>18</v>
      </c>
      <c r="L35" s="30" t="s">
        <v>35</v>
      </c>
      <c r="M35" s="30"/>
      <c r="N35" s="30"/>
      <c r="O35" s="30"/>
      <c r="P35" s="30"/>
      <c r="Q35" s="30"/>
      <c r="R35" s="30"/>
      <c r="S35" s="30"/>
    </row>
    <row r="36" spans="1:20">
      <c r="A36" s="33"/>
      <c r="B36" s="34"/>
      <c r="C36" s="34"/>
      <c r="D36" s="34"/>
      <c r="E36" s="34"/>
      <c r="F36" s="34"/>
      <c r="G36" s="34"/>
      <c r="H36" s="34"/>
      <c r="I36" s="34"/>
      <c r="L36" s="30"/>
      <c r="M36" s="30"/>
      <c r="N36" s="30"/>
      <c r="O36" s="30"/>
      <c r="P36" s="30"/>
      <c r="Q36" s="30"/>
      <c r="R36" s="30"/>
      <c r="S36" s="30"/>
    </row>
    <row r="37" spans="1:20" ht="18">
      <c r="B37" s="4" t="s">
        <v>12</v>
      </c>
      <c r="C37" s="4" t="s">
        <v>13</v>
      </c>
      <c r="D37" s="4" t="s">
        <v>6</v>
      </c>
      <c r="E37" s="4" t="s">
        <v>7</v>
      </c>
      <c r="F37" s="4" t="s">
        <v>8</v>
      </c>
      <c r="G37" s="5" t="s">
        <v>9</v>
      </c>
      <c r="H37" s="4" t="s">
        <v>5</v>
      </c>
      <c r="I37" s="5" t="s">
        <v>16</v>
      </c>
      <c r="L37" s="16"/>
      <c r="M37" s="16"/>
      <c r="N37" s="16"/>
      <c r="O37" s="16"/>
      <c r="P37" s="16"/>
      <c r="Q37" s="16"/>
      <c r="R37" s="16"/>
      <c r="S37" s="16"/>
    </row>
    <row r="38" spans="1:20" ht="18.75">
      <c r="B38" s="5" t="s">
        <v>10</v>
      </c>
      <c r="C38" s="5" t="s">
        <v>10</v>
      </c>
      <c r="D38" s="5" t="s">
        <v>10</v>
      </c>
      <c r="E38" s="5" t="s">
        <v>10</v>
      </c>
      <c r="F38" s="5" t="s">
        <v>10</v>
      </c>
      <c r="G38" s="5"/>
      <c r="H38" s="5" t="s">
        <v>4</v>
      </c>
      <c r="I38" s="5"/>
      <c r="K38" s="19" t="s">
        <v>20</v>
      </c>
      <c r="L38" s="19" t="s">
        <v>21</v>
      </c>
      <c r="M38" s="12" t="s">
        <v>9</v>
      </c>
      <c r="N38" s="12" t="s">
        <v>19</v>
      </c>
      <c r="O38" s="17" t="s">
        <v>22</v>
      </c>
      <c r="P38" s="17" t="s">
        <v>23</v>
      </c>
      <c r="Q38" s="20" t="s">
        <v>24</v>
      </c>
      <c r="R38" s="20" t="s">
        <v>25</v>
      </c>
    </row>
    <row r="39" spans="1:20">
      <c r="B39" s="6"/>
      <c r="C39" s="6"/>
      <c r="D39" s="7">
        <f>ABS(B39-$F$17)</f>
        <v>0</v>
      </c>
      <c r="E39" s="7">
        <f>ABS(C39-$F$17)</f>
        <v>0</v>
      </c>
      <c r="F39" s="8">
        <f>AVERAGE(D39:E39)</f>
        <v>0</v>
      </c>
      <c r="G39" s="8">
        <f t="shared" ref="G39:G44" si="3">SIN(F39*PI()/180)</f>
        <v>0</v>
      </c>
      <c r="H39" s="6"/>
      <c r="I39" s="6"/>
      <c r="K39" s="19"/>
      <c r="L39" s="19"/>
      <c r="M39" s="12"/>
      <c r="N39" s="12"/>
      <c r="O39" s="15" t="s">
        <v>4</v>
      </c>
      <c r="P39" s="15" t="s">
        <v>4</v>
      </c>
      <c r="Q39" s="21" t="s">
        <v>4</v>
      </c>
      <c r="R39" s="21" t="s">
        <v>4</v>
      </c>
    </row>
    <row r="40" spans="1:20">
      <c r="B40" s="6"/>
      <c r="C40" s="6"/>
      <c r="D40" s="7">
        <f t="shared" ref="D40:D44" si="4">ABS(B40-$F$17)</f>
        <v>0</v>
      </c>
      <c r="E40" s="7">
        <f t="shared" ref="E40:E44" si="5">ABS(C40-$F$17)</f>
        <v>0</v>
      </c>
      <c r="F40" s="8">
        <f t="shared" ref="F40:F44" si="6">AVERAGE(D40:E40)</f>
        <v>0</v>
      </c>
      <c r="G40" s="8">
        <f t="shared" si="3"/>
        <v>0</v>
      </c>
      <c r="H40" s="6"/>
      <c r="I40" s="6"/>
      <c r="K40" s="13"/>
      <c r="L40" s="1"/>
      <c r="M40" s="18"/>
      <c r="N40" s="14"/>
      <c r="O40" s="25"/>
      <c r="P40" s="23"/>
      <c r="Q40" s="22"/>
      <c r="R40" s="22"/>
    </row>
    <row r="41" spans="1:20">
      <c r="B41" s="6"/>
      <c r="C41" s="6"/>
      <c r="D41" s="7">
        <f t="shared" si="4"/>
        <v>0</v>
      </c>
      <c r="E41" s="7">
        <f t="shared" si="5"/>
        <v>0</v>
      </c>
      <c r="F41" s="8">
        <f t="shared" si="6"/>
        <v>0</v>
      </c>
      <c r="G41" s="8">
        <f t="shared" si="3"/>
        <v>0</v>
      </c>
      <c r="H41" s="6"/>
      <c r="I41" s="6"/>
      <c r="K41" s="13"/>
      <c r="L41" s="1"/>
      <c r="M41" s="18"/>
      <c r="N41" s="14"/>
      <c r="O41" s="25"/>
      <c r="P41" s="23"/>
      <c r="Q41" s="22"/>
      <c r="R41" s="22"/>
    </row>
    <row r="42" spans="1:20">
      <c r="B42" s="6"/>
      <c r="C42" s="6"/>
      <c r="D42" s="7">
        <f t="shared" si="4"/>
        <v>0</v>
      </c>
      <c r="E42" s="7">
        <f t="shared" si="5"/>
        <v>0</v>
      </c>
      <c r="F42" s="8">
        <f t="shared" si="6"/>
        <v>0</v>
      </c>
      <c r="G42" s="8">
        <f t="shared" si="3"/>
        <v>0</v>
      </c>
      <c r="H42" s="6"/>
      <c r="I42" s="6"/>
      <c r="K42" s="13"/>
      <c r="L42" s="1"/>
      <c r="M42" s="18"/>
      <c r="N42" s="14"/>
      <c r="O42" s="25"/>
      <c r="P42" s="23"/>
      <c r="Q42" s="22"/>
      <c r="R42" s="22"/>
    </row>
    <row r="43" spans="1:20">
      <c r="B43" s="6"/>
      <c r="C43" s="6"/>
      <c r="D43" s="7">
        <f t="shared" si="4"/>
        <v>0</v>
      </c>
      <c r="E43" s="7">
        <f t="shared" si="5"/>
        <v>0</v>
      </c>
      <c r="F43" s="8">
        <f t="shared" si="6"/>
        <v>0</v>
      </c>
      <c r="G43" s="8">
        <f t="shared" si="3"/>
        <v>0</v>
      </c>
      <c r="H43" s="6"/>
      <c r="I43" s="6"/>
      <c r="K43" s="13"/>
      <c r="L43" s="1"/>
      <c r="M43" s="18"/>
      <c r="N43" s="14"/>
      <c r="O43" s="25"/>
      <c r="P43" s="23"/>
      <c r="Q43" s="22"/>
      <c r="R43" s="22"/>
    </row>
    <row r="44" spans="1:20">
      <c r="B44" s="6"/>
      <c r="C44" s="6"/>
      <c r="D44" s="7">
        <f t="shared" si="4"/>
        <v>0</v>
      </c>
      <c r="E44" s="7">
        <f t="shared" si="5"/>
        <v>0</v>
      </c>
      <c r="F44" s="8">
        <f t="shared" si="6"/>
        <v>0</v>
      </c>
      <c r="G44" s="8">
        <f t="shared" si="3"/>
        <v>0</v>
      </c>
      <c r="H44" s="6"/>
      <c r="I44" s="6"/>
      <c r="K44" s="13"/>
      <c r="L44" s="1"/>
      <c r="M44" s="18"/>
      <c r="N44" s="14"/>
      <c r="O44" s="22"/>
      <c r="P44" s="23"/>
      <c r="Q44" s="22"/>
      <c r="R44" s="22"/>
    </row>
    <row r="46" spans="1:20" ht="21">
      <c r="K46" s="28" t="s">
        <v>39</v>
      </c>
      <c r="L46" s="28"/>
      <c r="M46" s="28"/>
      <c r="N46" s="28"/>
      <c r="O46" s="28"/>
      <c r="P46" s="28"/>
    </row>
    <row r="48" spans="1:20" ht="15" customHeight="1">
      <c r="K48" s="29" t="s">
        <v>38</v>
      </c>
      <c r="L48" s="29"/>
      <c r="M48" s="29"/>
      <c r="N48" s="29"/>
      <c r="O48" s="29"/>
      <c r="P48" s="29"/>
      <c r="Q48" s="29"/>
      <c r="R48" s="29"/>
      <c r="S48" s="29"/>
      <c r="T48" s="29"/>
    </row>
    <row r="49" spans="1:18">
      <c r="K49" s="27"/>
      <c r="L49" s="27"/>
      <c r="M49" s="27"/>
      <c r="N49" s="27"/>
      <c r="O49" s="27"/>
      <c r="P49" s="27"/>
      <c r="Q49" s="27"/>
      <c r="R49" s="27"/>
    </row>
    <row r="50" spans="1:18">
      <c r="A50" s="11"/>
      <c r="B50" s="11"/>
      <c r="C50" s="11"/>
      <c r="D50" s="11"/>
      <c r="E50" s="11"/>
      <c r="F50" s="11"/>
      <c r="G50" s="11"/>
      <c r="H50" s="11"/>
    </row>
    <row r="51" spans="1:18">
      <c r="A51" s="11"/>
      <c r="B51" s="11"/>
      <c r="C51" s="11"/>
      <c r="D51" s="11"/>
      <c r="E51" s="11"/>
      <c r="F51" s="11"/>
      <c r="G51" s="11"/>
      <c r="H51" s="11"/>
    </row>
    <row r="52" spans="1:18">
      <c r="A52" s="11"/>
      <c r="B52" s="11"/>
      <c r="C52" s="11"/>
      <c r="D52" s="11"/>
      <c r="E52" s="11"/>
      <c r="F52" s="11"/>
      <c r="G52" s="11"/>
      <c r="H52" s="11"/>
    </row>
    <row r="53" spans="1:18">
      <c r="A53" s="11"/>
      <c r="B53" s="11"/>
      <c r="C53" s="11"/>
      <c r="D53" s="11"/>
      <c r="E53" s="11"/>
      <c r="F53" s="11"/>
      <c r="G53" s="11"/>
      <c r="H53" s="11"/>
    </row>
    <row r="54" spans="1:18">
      <c r="A54" s="11"/>
      <c r="B54" s="11"/>
      <c r="C54" s="11"/>
      <c r="D54" s="11"/>
      <c r="E54" s="11"/>
      <c r="F54" s="11"/>
      <c r="G54" s="11"/>
      <c r="H54" s="11"/>
    </row>
    <row r="55" spans="1:18">
      <c r="A55" s="11"/>
      <c r="B55" s="11"/>
      <c r="C55" s="11"/>
      <c r="D55" s="11"/>
      <c r="E55" s="11"/>
      <c r="F55" s="11"/>
      <c r="G55" s="11"/>
      <c r="H55" s="11"/>
    </row>
    <row r="56" spans="1:18">
      <c r="A56" s="11"/>
      <c r="B56" s="11"/>
      <c r="C56" s="11"/>
      <c r="D56" s="11"/>
      <c r="E56" s="11"/>
      <c r="F56" s="11"/>
      <c r="G56" s="11"/>
      <c r="H56" s="11"/>
    </row>
    <row r="57" spans="1:18">
      <c r="A57" s="11"/>
      <c r="B57" s="11"/>
      <c r="C57" s="11"/>
      <c r="D57" s="11"/>
      <c r="E57" s="11"/>
      <c r="F57" s="11"/>
      <c r="G57" s="11"/>
      <c r="H57" s="11"/>
    </row>
    <row r="58" spans="1:18">
      <c r="A58" s="11"/>
      <c r="B58" s="11"/>
      <c r="C58" s="11"/>
      <c r="D58" s="11"/>
      <c r="E58" s="11"/>
      <c r="F58" s="11"/>
      <c r="G58" s="11"/>
      <c r="H58" s="11"/>
    </row>
  </sheetData>
  <sheetProtection formatCells="0"/>
  <protectedRanges>
    <protectedRange sqref="A2:I14 F17 B19:I20 B23:C28 I23:J28 F33 B35:I36 B39:C44 H39:I44" name="Range1"/>
    <protectedRange sqref="K32:S32 K13:S13" name="Range1_1"/>
    <protectedRange sqref="L35:S36 K40:K44 N40:O44 Q40:R44 H23:H28" name="Range1_2"/>
  </protectedRanges>
  <mergeCells count="10">
    <mergeCell ref="A1:I1"/>
    <mergeCell ref="A19:A20"/>
    <mergeCell ref="A2:I14"/>
    <mergeCell ref="A17:E17"/>
    <mergeCell ref="K33:S33"/>
    <mergeCell ref="L35:S36"/>
    <mergeCell ref="A33:E33"/>
    <mergeCell ref="A35:A36"/>
    <mergeCell ref="B19:I20"/>
    <mergeCell ref="B35:I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2"/>
  <sheetViews>
    <sheetView workbookViewId="0">
      <selection activeCell="C12" sqref="C12"/>
    </sheetView>
  </sheetViews>
  <sheetFormatPr defaultColWidth="8.85546875" defaultRowHeight="15"/>
  <sheetData>
    <row r="2" spans="1:11">
      <c r="A2" t="s">
        <v>0</v>
      </c>
      <c r="E2" t="s">
        <v>28</v>
      </c>
      <c r="F2" s="2"/>
      <c r="H2" s="26" t="s">
        <v>33</v>
      </c>
      <c r="I2" s="26"/>
    </row>
    <row r="4" spans="1:11">
      <c r="A4" t="s">
        <v>14</v>
      </c>
      <c r="E4" t="s">
        <v>29</v>
      </c>
      <c r="F4" s="2"/>
      <c r="H4" s="26" t="s">
        <v>34</v>
      </c>
      <c r="I4" s="26"/>
    </row>
    <row r="6" spans="1:11">
      <c r="A6" t="s">
        <v>31</v>
      </c>
    </row>
    <row r="7" spans="1:11">
      <c r="A7" t="s">
        <v>36</v>
      </c>
    </row>
    <row r="9" spans="1:11">
      <c r="H9" s="37" t="s">
        <v>32</v>
      </c>
      <c r="I9" s="37"/>
      <c r="J9" s="37"/>
      <c r="K9" s="37"/>
    </row>
    <row r="12" spans="1:11">
      <c r="E12" t="s">
        <v>30</v>
      </c>
      <c r="F12" s="2"/>
    </row>
  </sheetData>
  <protectedRanges>
    <protectedRange sqref="A1:I12" name="Range1_1"/>
  </protectedRanges>
  <mergeCells count="1">
    <mergeCell ref="H9:K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and Analysis steps</vt:lpstr>
      <vt:lpstr>Unceratinties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aniag</dc:creator>
  <cp:lastModifiedBy>Lingyue Sun</cp:lastModifiedBy>
  <cp:lastPrinted>2017-11-21T23:47:49Z</cp:lastPrinted>
  <dcterms:created xsi:type="dcterms:W3CDTF">2017-11-08T04:19:57Z</dcterms:created>
  <dcterms:modified xsi:type="dcterms:W3CDTF">2019-11-01T18:35:48Z</dcterms:modified>
</cp:coreProperties>
</file>