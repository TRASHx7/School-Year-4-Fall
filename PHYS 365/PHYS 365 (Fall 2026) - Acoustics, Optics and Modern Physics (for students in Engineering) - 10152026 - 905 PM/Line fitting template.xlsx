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\marzena.kastyakibrah\Documents\PHYS_365_369\F2018 365 369\Lab documents\Lab 1 final\Uncertainty - P365-9\"/>
    </mc:Choice>
  </mc:AlternateContent>
  <bookViews>
    <workbookView xWindow="0" yWindow="0" windowWidth="20490" windowHeight="7620" activeTab="1"/>
  </bookViews>
  <sheets>
    <sheet name="LINEST" sheetId="1" r:id="rId1"/>
    <sheet name="Fit with uncertainty" sheetId="2" r:id="rId2"/>
  </sheets>
  <calcPr calcId="162913"/>
</workbook>
</file>

<file path=xl/calcChain.xml><?xml version="1.0" encoding="utf-8"?>
<calcChain xmlns="http://schemas.openxmlformats.org/spreadsheetml/2006/main">
  <c r="P3" i="2" l="1"/>
  <c r="P2" i="2"/>
  <c r="K2" i="2" l="1"/>
  <c r="I3" i="1" l="1"/>
  <c r="I4" i="1"/>
  <c r="I2" i="1"/>
  <c r="M3" i="2"/>
  <c r="M11" i="2"/>
  <c r="M19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M131" i="2"/>
  <c r="M139" i="2"/>
  <c r="M147" i="2"/>
  <c r="M155" i="2"/>
  <c r="M163" i="2"/>
  <c r="M171" i="2"/>
  <c r="M179" i="2"/>
  <c r="M187" i="2"/>
  <c r="M195" i="2"/>
  <c r="M203" i="2"/>
  <c r="M211" i="2"/>
  <c r="M219" i="2"/>
  <c r="M227" i="2"/>
  <c r="M235" i="2"/>
  <c r="M243" i="2"/>
  <c r="M251" i="2"/>
  <c r="M259" i="2"/>
  <c r="M267" i="2"/>
  <c r="M275" i="2"/>
  <c r="M283" i="2"/>
  <c r="M291" i="2"/>
  <c r="M299" i="2"/>
  <c r="M307" i="2"/>
  <c r="M315" i="2"/>
  <c r="M323" i="2"/>
  <c r="M331" i="2"/>
  <c r="M339" i="2"/>
  <c r="M347" i="2"/>
  <c r="M355" i="2"/>
  <c r="M363" i="2"/>
  <c r="M371" i="2"/>
  <c r="M379" i="2"/>
  <c r="M387" i="2"/>
  <c r="M395" i="2"/>
  <c r="M403" i="2"/>
  <c r="M411" i="2"/>
  <c r="M419" i="2"/>
  <c r="M427" i="2"/>
  <c r="M435" i="2"/>
  <c r="M443" i="2"/>
  <c r="M451" i="2"/>
  <c r="M459" i="2"/>
  <c r="M467" i="2"/>
  <c r="M475" i="2"/>
  <c r="M483" i="2"/>
  <c r="M491" i="2"/>
  <c r="M499" i="2"/>
  <c r="M507" i="2"/>
  <c r="M515" i="2"/>
  <c r="M523" i="2"/>
  <c r="M531" i="2"/>
  <c r="M539" i="2"/>
  <c r="M547" i="2"/>
  <c r="M555" i="2"/>
  <c r="M563" i="2"/>
  <c r="M571" i="2"/>
  <c r="M579" i="2"/>
  <c r="M587" i="2"/>
  <c r="M595" i="2"/>
  <c r="M603" i="2"/>
  <c r="M611" i="2"/>
  <c r="M619" i="2"/>
  <c r="M627" i="2"/>
  <c r="M635" i="2"/>
  <c r="M643" i="2"/>
  <c r="M651" i="2"/>
  <c r="M659" i="2"/>
  <c r="M667" i="2"/>
  <c r="M675" i="2"/>
  <c r="M4" i="2"/>
  <c r="M12" i="2"/>
  <c r="M20" i="2"/>
  <c r="M28" i="2"/>
  <c r="M36" i="2"/>
  <c r="M44" i="2"/>
  <c r="M52" i="2"/>
  <c r="M60" i="2"/>
  <c r="M68" i="2"/>
  <c r="M76" i="2"/>
  <c r="M84" i="2"/>
  <c r="M92" i="2"/>
  <c r="M100" i="2"/>
  <c r="M108" i="2"/>
  <c r="M116" i="2"/>
  <c r="M124" i="2"/>
  <c r="M132" i="2"/>
  <c r="M140" i="2"/>
  <c r="M148" i="2"/>
  <c r="M156" i="2"/>
  <c r="M164" i="2"/>
  <c r="M172" i="2"/>
  <c r="M180" i="2"/>
  <c r="M188" i="2"/>
  <c r="M196" i="2"/>
  <c r="M204" i="2"/>
  <c r="M212" i="2"/>
  <c r="M220" i="2"/>
  <c r="M228" i="2"/>
  <c r="M236" i="2"/>
  <c r="M244" i="2"/>
  <c r="M252" i="2"/>
  <c r="M260" i="2"/>
  <c r="M268" i="2"/>
  <c r="M276" i="2"/>
  <c r="M284" i="2"/>
  <c r="M292" i="2"/>
  <c r="M300" i="2"/>
  <c r="M308" i="2"/>
  <c r="M316" i="2"/>
  <c r="M324" i="2"/>
  <c r="M332" i="2"/>
  <c r="M340" i="2"/>
  <c r="M348" i="2"/>
  <c r="M356" i="2"/>
  <c r="M364" i="2"/>
  <c r="M372" i="2"/>
  <c r="M380" i="2"/>
  <c r="M388" i="2"/>
  <c r="M396" i="2"/>
  <c r="M404" i="2"/>
  <c r="M412" i="2"/>
  <c r="M420" i="2"/>
  <c r="M428" i="2"/>
  <c r="M436" i="2"/>
  <c r="M444" i="2"/>
  <c r="M452" i="2"/>
  <c r="M460" i="2"/>
  <c r="M468" i="2"/>
  <c r="M476" i="2"/>
  <c r="M484" i="2"/>
  <c r="M492" i="2"/>
  <c r="M500" i="2"/>
  <c r="M508" i="2"/>
  <c r="M516" i="2"/>
  <c r="M524" i="2"/>
  <c r="M532" i="2"/>
  <c r="M540" i="2"/>
  <c r="M548" i="2"/>
  <c r="M556" i="2"/>
  <c r="M564" i="2"/>
  <c r="M572" i="2"/>
  <c r="M580" i="2"/>
  <c r="M588" i="2"/>
  <c r="M596" i="2"/>
  <c r="M604" i="2"/>
  <c r="M612" i="2"/>
  <c r="M620" i="2"/>
  <c r="M628" i="2"/>
  <c r="M636" i="2"/>
  <c r="M644" i="2"/>
  <c r="M652" i="2"/>
  <c r="M660" i="2"/>
  <c r="M668" i="2"/>
  <c r="M676" i="2"/>
  <c r="M5" i="2"/>
  <c r="M13" i="2"/>
  <c r="M21" i="2"/>
  <c r="M29" i="2"/>
  <c r="M37" i="2"/>
  <c r="M45" i="2"/>
  <c r="M53" i="2"/>
  <c r="M61" i="2"/>
  <c r="M69" i="2"/>
  <c r="M77" i="2"/>
  <c r="M85" i="2"/>
  <c r="M93" i="2"/>
  <c r="M101" i="2"/>
  <c r="M109" i="2"/>
  <c r="M117" i="2"/>
  <c r="M125" i="2"/>
  <c r="M133" i="2"/>
  <c r="M141" i="2"/>
  <c r="M149" i="2"/>
  <c r="M157" i="2"/>
  <c r="M165" i="2"/>
  <c r="M173" i="2"/>
  <c r="M181" i="2"/>
  <c r="M189" i="2"/>
  <c r="M197" i="2"/>
  <c r="M205" i="2"/>
  <c r="M213" i="2"/>
  <c r="M221" i="2"/>
  <c r="M229" i="2"/>
  <c r="M237" i="2"/>
  <c r="M245" i="2"/>
  <c r="M253" i="2"/>
  <c r="M261" i="2"/>
  <c r="M269" i="2"/>
  <c r="M277" i="2"/>
  <c r="M285" i="2"/>
  <c r="M293" i="2"/>
  <c r="M301" i="2"/>
  <c r="M309" i="2"/>
  <c r="M317" i="2"/>
  <c r="M325" i="2"/>
  <c r="M333" i="2"/>
  <c r="M341" i="2"/>
  <c r="M349" i="2"/>
  <c r="M357" i="2"/>
  <c r="M365" i="2"/>
  <c r="M373" i="2"/>
  <c r="M381" i="2"/>
  <c r="M389" i="2"/>
  <c r="M397" i="2"/>
  <c r="M405" i="2"/>
  <c r="M413" i="2"/>
  <c r="M421" i="2"/>
  <c r="M429" i="2"/>
  <c r="M437" i="2"/>
  <c r="M445" i="2"/>
  <c r="M453" i="2"/>
  <c r="M461" i="2"/>
  <c r="M469" i="2"/>
  <c r="M477" i="2"/>
  <c r="M485" i="2"/>
  <c r="M493" i="2"/>
  <c r="M501" i="2"/>
  <c r="M509" i="2"/>
  <c r="M517" i="2"/>
  <c r="M525" i="2"/>
  <c r="M533" i="2"/>
  <c r="M541" i="2"/>
  <c r="M549" i="2"/>
  <c r="M557" i="2"/>
  <c r="M565" i="2"/>
  <c r="M573" i="2"/>
  <c r="M581" i="2"/>
  <c r="M589" i="2"/>
  <c r="M597" i="2"/>
  <c r="M605" i="2"/>
  <c r="M613" i="2"/>
  <c r="M621" i="2"/>
  <c r="M629" i="2"/>
  <c r="M637" i="2"/>
  <c r="M645" i="2"/>
  <c r="M653" i="2"/>
  <c r="M661" i="2"/>
  <c r="M669" i="2"/>
  <c r="M677" i="2"/>
  <c r="M10" i="2"/>
  <c r="M18" i="2"/>
  <c r="M26" i="2"/>
  <c r="M34" i="2"/>
  <c r="M42" i="2"/>
  <c r="M50" i="2"/>
  <c r="M58" i="2"/>
  <c r="M66" i="2"/>
  <c r="M74" i="2"/>
  <c r="M82" i="2"/>
  <c r="M90" i="2"/>
  <c r="M98" i="2"/>
  <c r="M106" i="2"/>
  <c r="M114" i="2"/>
  <c r="M122" i="2"/>
  <c r="M130" i="2"/>
  <c r="M138" i="2"/>
  <c r="M146" i="2"/>
  <c r="M154" i="2"/>
  <c r="M162" i="2"/>
  <c r="M170" i="2"/>
  <c r="M178" i="2"/>
  <c r="M186" i="2"/>
  <c r="M194" i="2"/>
  <c r="M202" i="2"/>
  <c r="M210" i="2"/>
  <c r="M218" i="2"/>
  <c r="M226" i="2"/>
  <c r="M234" i="2"/>
  <c r="M242" i="2"/>
  <c r="M250" i="2"/>
  <c r="M258" i="2"/>
  <c r="M266" i="2"/>
  <c r="M274" i="2"/>
  <c r="M282" i="2"/>
  <c r="M290" i="2"/>
  <c r="M298" i="2"/>
  <c r="M306" i="2"/>
  <c r="M314" i="2"/>
  <c r="M322" i="2"/>
  <c r="M330" i="2"/>
  <c r="M338" i="2"/>
  <c r="M346" i="2"/>
  <c r="M354" i="2"/>
  <c r="M362" i="2"/>
  <c r="M370" i="2"/>
  <c r="M378" i="2"/>
  <c r="M386" i="2"/>
  <c r="M394" i="2"/>
  <c r="M402" i="2"/>
  <c r="M410" i="2"/>
  <c r="M418" i="2"/>
  <c r="M426" i="2"/>
  <c r="M6" i="2"/>
  <c r="M22" i="2"/>
  <c r="M38" i="2"/>
  <c r="M54" i="2"/>
  <c r="M70" i="2"/>
  <c r="M86" i="2"/>
  <c r="M102" i="2"/>
  <c r="M118" i="2"/>
  <c r="M134" i="2"/>
  <c r="M150" i="2"/>
  <c r="M166" i="2"/>
  <c r="M182" i="2"/>
  <c r="M198" i="2"/>
  <c r="M214" i="2"/>
  <c r="M230" i="2"/>
  <c r="M246" i="2"/>
  <c r="M262" i="2"/>
  <c r="M278" i="2"/>
  <c r="M294" i="2"/>
  <c r="M310" i="2"/>
  <c r="M326" i="2"/>
  <c r="M342" i="2"/>
  <c r="M358" i="2"/>
  <c r="M374" i="2"/>
  <c r="M390" i="2"/>
  <c r="M406" i="2"/>
  <c r="M422" i="2"/>
  <c r="M434" i="2"/>
  <c r="M448" i="2"/>
  <c r="M462" i="2"/>
  <c r="M473" i="2"/>
  <c r="M487" i="2"/>
  <c r="M498" i="2"/>
  <c r="M512" i="2"/>
  <c r="M526" i="2"/>
  <c r="M537" i="2"/>
  <c r="M551" i="2"/>
  <c r="M562" i="2"/>
  <c r="M576" i="2"/>
  <c r="M590" i="2"/>
  <c r="M601" i="2"/>
  <c r="M615" i="2"/>
  <c r="M626" i="2"/>
  <c r="M640" i="2"/>
  <c r="M654" i="2"/>
  <c r="M665" i="2"/>
  <c r="M679" i="2"/>
  <c r="M687" i="2"/>
  <c r="M695" i="2"/>
  <c r="M703" i="2"/>
  <c r="M711" i="2"/>
  <c r="M719" i="2"/>
  <c r="M727" i="2"/>
  <c r="M735" i="2"/>
  <c r="M743" i="2"/>
  <c r="M751" i="2"/>
  <c r="M759" i="2"/>
  <c r="M767" i="2"/>
  <c r="M775" i="2"/>
  <c r="M783" i="2"/>
  <c r="M791" i="2"/>
  <c r="M799" i="2"/>
  <c r="M807" i="2"/>
  <c r="M815" i="2"/>
  <c r="M823" i="2"/>
  <c r="M831" i="2"/>
  <c r="M839" i="2"/>
  <c r="M847" i="2"/>
  <c r="M855" i="2"/>
  <c r="M863" i="2"/>
  <c r="M871" i="2"/>
  <c r="M879" i="2"/>
  <c r="M887" i="2"/>
  <c r="M895" i="2"/>
  <c r="M903" i="2"/>
  <c r="M911" i="2"/>
  <c r="M919" i="2"/>
  <c r="M927" i="2"/>
  <c r="M935" i="2"/>
  <c r="M943" i="2"/>
  <c r="M951" i="2"/>
  <c r="M959" i="2"/>
  <c r="M967" i="2"/>
  <c r="M975" i="2"/>
  <c r="M983" i="2"/>
  <c r="M991" i="2"/>
  <c r="M999" i="2"/>
  <c r="M7" i="2"/>
  <c r="M23" i="2"/>
  <c r="M39" i="2"/>
  <c r="M55" i="2"/>
  <c r="M71" i="2"/>
  <c r="M87" i="2"/>
  <c r="M103" i="2"/>
  <c r="M119" i="2"/>
  <c r="M135" i="2"/>
  <c r="M151" i="2"/>
  <c r="M167" i="2"/>
  <c r="M183" i="2"/>
  <c r="M199" i="2"/>
  <c r="M215" i="2"/>
  <c r="M231" i="2"/>
  <c r="M247" i="2"/>
  <c r="M263" i="2"/>
  <c r="M279" i="2"/>
  <c r="M295" i="2"/>
  <c r="M311" i="2"/>
  <c r="M327" i="2"/>
  <c r="M343" i="2"/>
  <c r="M359" i="2"/>
  <c r="M375" i="2"/>
  <c r="M391" i="2"/>
  <c r="M407" i="2"/>
  <c r="M423" i="2"/>
  <c r="M438" i="2"/>
  <c r="M449" i="2"/>
  <c r="M463" i="2"/>
  <c r="M474" i="2"/>
  <c r="M488" i="2"/>
  <c r="M502" i="2"/>
  <c r="M513" i="2"/>
  <c r="M527" i="2"/>
  <c r="M538" i="2"/>
  <c r="M552" i="2"/>
  <c r="M566" i="2"/>
  <c r="M577" i="2"/>
  <c r="M591" i="2"/>
  <c r="M602" i="2"/>
  <c r="M616" i="2"/>
  <c r="M630" i="2"/>
  <c r="M641" i="2"/>
  <c r="M655" i="2"/>
  <c r="M666" i="2"/>
  <c r="M680" i="2"/>
  <c r="M688" i="2"/>
  <c r="M696" i="2"/>
  <c r="M704" i="2"/>
  <c r="M712" i="2"/>
  <c r="M720" i="2"/>
  <c r="M728" i="2"/>
  <c r="M736" i="2"/>
  <c r="M744" i="2"/>
  <c r="M752" i="2"/>
  <c r="M760" i="2"/>
  <c r="M768" i="2"/>
  <c r="M776" i="2"/>
  <c r="M784" i="2"/>
  <c r="M792" i="2"/>
  <c r="M800" i="2"/>
  <c r="M808" i="2"/>
  <c r="M816" i="2"/>
  <c r="M824" i="2"/>
  <c r="M832" i="2"/>
  <c r="M840" i="2"/>
  <c r="M848" i="2"/>
  <c r="M856" i="2"/>
  <c r="M864" i="2"/>
  <c r="M872" i="2"/>
  <c r="M880" i="2"/>
  <c r="M888" i="2"/>
  <c r="M896" i="2"/>
  <c r="M904" i="2"/>
  <c r="M912" i="2"/>
  <c r="M920" i="2"/>
  <c r="M928" i="2"/>
  <c r="M936" i="2"/>
  <c r="M944" i="2"/>
  <c r="M952" i="2"/>
  <c r="M960" i="2"/>
  <c r="M968" i="2"/>
  <c r="M976" i="2"/>
  <c r="M984" i="2"/>
  <c r="M8" i="2"/>
  <c r="M24" i="2"/>
  <c r="M40" i="2"/>
  <c r="M56" i="2"/>
  <c r="M72" i="2"/>
  <c r="M88" i="2"/>
  <c r="M104" i="2"/>
  <c r="M120" i="2"/>
  <c r="M136" i="2"/>
  <c r="M152" i="2"/>
  <c r="M168" i="2"/>
  <c r="M184" i="2"/>
  <c r="M200" i="2"/>
  <c r="M216" i="2"/>
  <c r="M232" i="2"/>
  <c r="M248" i="2"/>
  <c r="M264" i="2"/>
  <c r="M280" i="2"/>
  <c r="M296" i="2"/>
  <c r="M312" i="2"/>
  <c r="M328" i="2"/>
  <c r="M344" i="2"/>
  <c r="M360" i="2"/>
  <c r="M376" i="2"/>
  <c r="M392" i="2"/>
  <c r="M408" i="2"/>
  <c r="M424" i="2"/>
  <c r="M439" i="2"/>
  <c r="M450" i="2"/>
  <c r="M464" i="2"/>
  <c r="M478" i="2"/>
  <c r="M489" i="2"/>
  <c r="M503" i="2"/>
  <c r="M514" i="2"/>
  <c r="M528" i="2"/>
  <c r="M542" i="2"/>
  <c r="M553" i="2"/>
  <c r="M567" i="2"/>
  <c r="M578" i="2"/>
  <c r="M592" i="2"/>
  <c r="M606" i="2"/>
  <c r="M617" i="2"/>
  <c r="M631" i="2"/>
  <c r="M642" i="2"/>
  <c r="M656" i="2"/>
  <c r="M670" i="2"/>
  <c r="M681" i="2"/>
  <c r="M689" i="2"/>
  <c r="M697" i="2"/>
  <c r="M705" i="2"/>
  <c r="M713" i="2"/>
  <c r="M721" i="2"/>
  <c r="M729" i="2"/>
  <c r="M737" i="2"/>
  <c r="M745" i="2"/>
  <c r="M753" i="2"/>
  <c r="M761" i="2"/>
  <c r="M769" i="2"/>
  <c r="M777" i="2"/>
  <c r="M785" i="2"/>
  <c r="M793" i="2"/>
  <c r="M801" i="2"/>
  <c r="M809" i="2"/>
  <c r="M817" i="2"/>
  <c r="M825" i="2"/>
  <c r="M833" i="2"/>
  <c r="M841" i="2"/>
  <c r="M849" i="2"/>
  <c r="M857" i="2"/>
  <c r="M865" i="2"/>
  <c r="M873" i="2"/>
  <c r="M881" i="2"/>
  <c r="M889" i="2"/>
  <c r="M897" i="2"/>
  <c r="M905" i="2"/>
  <c r="M17" i="2"/>
  <c r="M33" i="2"/>
  <c r="M49" i="2"/>
  <c r="M65" i="2"/>
  <c r="M81" i="2"/>
  <c r="M97" i="2"/>
  <c r="M113" i="2"/>
  <c r="M129" i="2"/>
  <c r="M145" i="2"/>
  <c r="M161" i="2"/>
  <c r="M177" i="2"/>
  <c r="M193" i="2"/>
  <c r="M209" i="2"/>
  <c r="M225" i="2"/>
  <c r="M241" i="2"/>
  <c r="M257" i="2"/>
  <c r="M273" i="2"/>
  <c r="M289" i="2"/>
  <c r="M305" i="2"/>
  <c r="M321" i="2"/>
  <c r="M337" i="2"/>
  <c r="M353" i="2"/>
  <c r="M369" i="2"/>
  <c r="M385" i="2"/>
  <c r="M401" i="2"/>
  <c r="M417" i="2"/>
  <c r="M433" i="2"/>
  <c r="M447" i="2"/>
  <c r="M458" i="2"/>
  <c r="M472" i="2"/>
  <c r="M486" i="2"/>
  <c r="M497" i="2"/>
  <c r="M511" i="2"/>
  <c r="M522" i="2"/>
  <c r="M536" i="2"/>
  <c r="M550" i="2"/>
  <c r="M561" i="2"/>
  <c r="M575" i="2"/>
  <c r="M586" i="2"/>
  <c r="M600" i="2"/>
  <c r="M614" i="2"/>
  <c r="M625" i="2"/>
  <c r="M639" i="2"/>
  <c r="M650" i="2"/>
  <c r="M664" i="2"/>
  <c r="M678" i="2"/>
  <c r="M686" i="2"/>
  <c r="M694" i="2"/>
  <c r="M702" i="2"/>
  <c r="M710" i="2"/>
  <c r="M718" i="2"/>
  <c r="M726" i="2"/>
  <c r="M734" i="2"/>
  <c r="M742" i="2"/>
  <c r="M750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4" i="2"/>
  <c r="M479" i="2"/>
  <c r="M504" i="2"/>
  <c r="M529" i="2"/>
  <c r="M554" i="2"/>
  <c r="M582" i="2"/>
  <c r="M607" i="2"/>
  <c r="M632" i="2"/>
  <c r="M657" i="2"/>
  <c r="M682" i="2"/>
  <c r="M698" i="2"/>
  <c r="M714" i="2"/>
  <c r="M730" i="2"/>
  <c r="M746" i="2"/>
  <c r="M758" i="2"/>
  <c r="M772" i="2"/>
  <c r="M786" i="2"/>
  <c r="M797" i="2"/>
  <c r="M811" i="2"/>
  <c r="M822" i="2"/>
  <c r="M836" i="2"/>
  <c r="M850" i="2"/>
  <c r="M861" i="2"/>
  <c r="M875" i="2"/>
  <c r="M886" i="2"/>
  <c r="M900" i="2"/>
  <c r="M913" i="2"/>
  <c r="M923" i="2"/>
  <c r="M933" i="2"/>
  <c r="M945" i="2"/>
  <c r="M955" i="2"/>
  <c r="M965" i="2"/>
  <c r="M977" i="2"/>
  <c r="M987" i="2"/>
  <c r="M996" i="2"/>
  <c r="M1005" i="2"/>
  <c r="M1013" i="2"/>
  <c r="M1021" i="2"/>
  <c r="M1029" i="2"/>
  <c r="M1037" i="2"/>
  <c r="M1045" i="2"/>
  <c r="M1053" i="2"/>
  <c r="M1061" i="2"/>
  <c r="M1069" i="2"/>
  <c r="M1077" i="2"/>
  <c r="M1085" i="2"/>
  <c r="M1093" i="2"/>
  <c r="M1101" i="2"/>
  <c r="M1109" i="2"/>
  <c r="M1117" i="2"/>
  <c r="M1125" i="2"/>
  <c r="M1133" i="2"/>
  <c r="M1141" i="2"/>
  <c r="M1149" i="2"/>
  <c r="M1157" i="2"/>
  <c r="M1165" i="2"/>
  <c r="M1173" i="2"/>
  <c r="M1181" i="2"/>
  <c r="M1189" i="2"/>
  <c r="M1197" i="2"/>
  <c r="M1205" i="2"/>
  <c r="M1213" i="2"/>
  <c r="M1221" i="2"/>
  <c r="M1229" i="2"/>
  <c r="M1237" i="2"/>
  <c r="M1245" i="2"/>
  <c r="M1253" i="2"/>
  <c r="M1261" i="2"/>
  <c r="M1269" i="2"/>
  <c r="M1277" i="2"/>
  <c r="M1285" i="2"/>
  <c r="M1293" i="2"/>
  <c r="M1301" i="2"/>
  <c r="M1309" i="2"/>
  <c r="M1317" i="2"/>
  <c r="M1325" i="2"/>
  <c r="M14" i="2"/>
  <c r="M46" i="2"/>
  <c r="M78" i="2"/>
  <c r="M110" i="2"/>
  <c r="M142" i="2"/>
  <c r="M174" i="2"/>
  <c r="M206" i="2"/>
  <c r="M238" i="2"/>
  <c r="M270" i="2"/>
  <c r="M302" i="2"/>
  <c r="M334" i="2"/>
  <c r="M366" i="2"/>
  <c r="M398" i="2"/>
  <c r="M430" i="2"/>
  <c r="M455" i="2"/>
  <c r="M480" i="2"/>
  <c r="M505" i="2"/>
  <c r="M530" i="2"/>
  <c r="M558" i="2"/>
  <c r="M583" i="2"/>
  <c r="M608" i="2"/>
  <c r="M633" i="2"/>
  <c r="M658" i="2"/>
  <c r="M683" i="2"/>
  <c r="M699" i="2"/>
  <c r="M715" i="2"/>
  <c r="M731" i="2"/>
  <c r="M747" i="2"/>
  <c r="M762" i="2"/>
  <c r="M773" i="2"/>
  <c r="M787" i="2"/>
  <c r="M798" i="2"/>
  <c r="M812" i="2"/>
  <c r="M826" i="2"/>
  <c r="M837" i="2"/>
  <c r="M851" i="2"/>
  <c r="M862" i="2"/>
  <c r="M876" i="2"/>
  <c r="M890" i="2"/>
  <c r="M901" i="2"/>
  <c r="M914" i="2"/>
  <c r="M924" i="2"/>
  <c r="M934" i="2"/>
  <c r="M946" i="2"/>
  <c r="M956" i="2"/>
  <c r="M966" i="2"/>
  <c r="M978" i="2"/>
  <c r="M988" i="2"/>
  <c r="M997" i="2"/>
  <c r="M1006" i="2"/>
  <c r="M1014" i="2"/>
  <c r="M1022" i="2"/>
  <c r="M1030" i="2"/>
  <c r="M1038" i="2"/>
  <c r="M1046" i="2"/>
  <c r="M1054" i="2"/>
  <c r="M1062" i="2"/>
  <c r="M1070" i="2"/>
  <c r="M1078" i="2"/>
  <c r="M1086" i="2"/>
  <c r="M1094" i="2"/>
  <c r="M1102" i="2"/>
  <c r="M1110" i="2"/>
  <c r="M1118" i="2"/>
  <c r="M1126" i="2"/>
  <c r="M1134" i="2"/>
  <c r="M1142" i="2"/>
  <c r="M1150" i="2"/>
  <c r="M1158" i="2"/>
  <c r="M1166" i="2"/>
  <c r="M1174" i="2"/>
  <c r="M1182" i="2"/>
  <c r="M1190" i="2"/>
  <c r="M1198" i="2"/>
  <c r="M1206" i="2"/>
  <c r="M1214" i="2"/>
  <c r="M1222" i="2"/>
  <c r="M1230" i="2"/>
  <c r="M1238" i="2"/>
  <c r="M1246" i="2"/>
  <c r="M1254" i="2"/>
  <c r="M1262" i="2"/>
  <c r="M1270" i="2"/>
  <c r="M1278" i="2"/>
  <c r="M1286" i="2"/>
  <c r="M1294" i="2"/>
  <c r="M1302" i="2"/>
  <c r="M1310" i="2"/>
  <c r="M1318" i="2"/>
  <c r="M1326" i="2"/>
  <c r="M15" i="2"/>
  <c r="M47" i="2"/>
  <c r="M79" i="2"/>
  <c r="M111" i="2"/>
  <c r="M143" i="2"/>
  <c r="M175" i="2"/>
  <c r="M207" i="2"/>
  <c r="M239" i="2"/>
  <c r="M271" i="2"/>
  <c r="M303" i="2"/>
  <c r="M335" i="2"/>
  <c r="M367" i="2"/>
  <c r="M399" i="2"/>
  <c r="M431" i="2"/>
  <c r="M456" i="2"/>
  <c r="M481" i="2"/>
  <c r="M506" i="2"/>
  <c r="M534" i="2"/>
  <c r="M559" i="2"/>
  <c r="M584" i="2"/>
  <c r="M609" i="2"/>
  <c r="M634" i="2"/>
  <c r="M662" i="2"/>
  <c r="M684" i="2"/>
  <c r="M700" i="2"/>
  <c r="M716" i="2"/>
  <c r="M732" i="2"/>
  <c r="M748" i="2"/>
  <c r="M763" i="2"/>
  <c r="M774" i="2"/>
  <c r="M788" i="2"/>
  <c r="M802" i="2"/>
  <c r="M813" i="2"/>
  <c r="M827" i="2"/>
  <c r="M838" i="2"/>
  <c r="M852" i="2"/>
  <c r="M866" i="2"/>
  <c r="M877" i="2"/>
  <c r="M891" i="2"/>
  <c r="M902" i="2"/>
  <c r="M915" i="2"/>
  <c r="M925" i="2"/>
  <c r="M937" i="2"/>
  <c r="M947" i="2"/>
  <c r="M957" i="2"/>
  <c r="M969" i="2"/>
  <c r="M979" i="2"/>
  <c r="M989" i="2"/>
  <c r="M998" i="2"/>
  <c r="M1007" i="2"/>
  <c r="M1015" i="2"/>
  <c r="M1023" i="2"/>
  <c r="M1031" i="2"/>
  <c r="M1039" i="2"/>
  <c r="M1047" i="2"/>
  <c r="M1055" i="2"/>
  <c r="M1063" i="2"/>
  <c r="M1071" i="2"/>
  <c r="M1079" i="2"/>
  <c r="M1087" i="2"/>
  <c r="M1095" i="2"/>
  <c r="M1103" i="2"/>
  <c r="M1111" i="2"/>
  <c r="M1119" i="2"/>
  <c r="M1127" i="2"/>
  <c r="M1135" i="2"/>
  <c r="M1143" i="2"/>
  <c r="M1151" i="2"/>
  <c r="M1159" i="2"/>
  <c r="M1167" i="2"/>
  <c r="M1175" i="2"/>
  <c r="M1183" i="2"/>
  <c r="M1191" i="2"/>
  <c r="M1199" i="2"/>
  <c r="M1207" i="2"/>
  <c r="M1215" i="2"/>
  <c r="M1223" i="2"/>
  <c r="M1231" i="2"/>
  <c r="M1239" i="2"/>
  <c r="M1247" i="2"/>
  <c r="M1255" i="2"/>
  <c r="M1263" i="2"/>
  <c r="M1271" i="2"/>
  <c r="M1279" i="2"/>
  <c r="M1287" i="2"/>
  <c r="M32" i="2"/>
  <c r="M64" i="2"/>
  <c r="M96" i="2"/>
  <c r="M128" i="2"/>
  <c r="M160" i="2"/>
  <c r="M192" i="2"/>
  <c r="M224" i="2"/>
  <c r="M256" i="2"/>
  <c r="M288" i="2"/>
  <c r="M320" i="2"/>
  <c r="M352" i="2"/>
  <c r="M384" i="2"/>
  <c r="M416" i="2"/>
  <c r="M446" i="2"/>
  <c r="M471" i="2"/>
  <c r="M496" i="2"/>
  <c r="M521" i="2"/>
  <c r="M546" i="2"/>
  <c r="M574" i="2"/>
  <c r="M599" i="2"/>
  <c r="M624" i="2"/>
  <c r="M649" i="2"/>
  <c r="M674" i="2"/>
  <c r="M693" i="2"/>
  <c r="M709" i="2"/>
  <c r="M725" i="2"/>
  <c r="M741" i="2"/>
  <c r="M757" i="2"/>
  <c r="M771" i="2"/>
  <c r="M782" i="2"/>
  <c r="M796" i="2"/>
  <c r="M810" i="2"/>
  <c r="M821" i="2"/>
  <c r="M835" i="2"/>
  <c r="M846" i="2"/>
  <c r="M860" i="2"/>
  <c r="M874" i="2"/>
  <c r="M885" i="2"/>
  <c r="M899" i="2"/>
  <c r="M910" i="2"/>
  <c r="M922" i="2"/>
  <c r="M932" i="2"/>
  <c r="M942" i="2"/>
  <c r="M954" i="2"/>
  <c r="M964" i="2"/>
  <c r="M974" i="2"/>
  <c r="M986" i="2"/>
  <c r="M995" i="2"/>
  <c r="M1004" i="2"/>
  <c r="M1012" i="2"/>
  <c r="M1020" i="2"/>
  <c r="M1028" i="2"/>
  <c r="M1036" i="2"/>
  <c r="M1044" i="2"/>
  <c r="M1052" i="2"/>
  <c r="M1060" i="2"/>
  <c r="M1068" i="2"/>
  <c r="M1076" i="2"/>
  <c r="M1084" i="2"/>
  <c r="M1092" i="2"/>
  <c r="M1100" i="2"/>
  <c r="M1108" i="2"/>
  <c r="M1116" i="2"/>
  <c r="M1124" i="2"/>
  <c r="M1132" i="2"/>
  <c r="M1140" i="2"/>
  <c r="M1148" i="2"/>
  <c r="M1156" i="2"/>
  <c r="M16" i="2"/>
  <c r="M80" i="2"/>
  <c r="M144" i="2"/>
  <c r="M208" i="2"/>
  <c r="M272" i="2"/>
  <c r="M336" i="2"/>
  <c r="M400" i="2"/>
  <c r="M457" i="2"/>
  <c r="M510" i="2"/>
  <c r="M560" i="2"/>
  <c r="M610" i="2"/>
  <c r="M663" i="2"/>
  <c r="M701" i="2"/>
  <c r="M733" i="2"/>
  <c r="M764" i="2"/>
  <c r="M789" i="2"/>
  <c r="M814" i="2"/>
  <c r="M842" i="2"/>
  <c r="M867" i="2"/>
  <c r="M892" i="2"/>
  <c r="M916" i="2"/>
  <c r="M938" i="2"/>
  <c r="M958" i="2"/>
  <c r="M980" i="2"/>
  <c r="M1000" i="2"/>
  <c r="M1016" i="2"/>
  <c r="M1032" i="2"/>
  <c r="M1048" i="2"/>
  <c r="M1064" i="2"/>
  <c r="M1080" i="2"/>
  <c r="M1096" i="2"/>
  <c r="M1112" i="2"/>
  <c r="M1128" i="2"/>
  <c r="M1144" i="2"/>
  <c r="M1160" i="2"/>
  <c r="M1171" i="2"/>
  <c r="M1185" i="2"/>
  <c r="M1196" i="2"/>
  <c r="M1210" i="2"/>
  <c r="M1224" i="2"/>
  <c r="M1235" i="2"/>
  <c r="M1249" i="2"/>
  <c r="M1260" i="2"/>
  <c r="M1274" i="2"/>
  <c r="M1288" i="2"/>
  <c r="M1298" i="2"/>
  <c r="M1308" i="2"/>
  <c r="M1320" i="2"/>
  <c r="M1330" i="2"/>
  <c r="M1338" i="2"/>
  <c r="M1346" i="2"/>
  <c r="M1354" i="2"/>
  <c r="M1362" i="2"/>
  <c r="M1370" i="2"/>
  <c r="M1378" i="2"/>
  <c r="M1386" i="2"/>
  <c r="M1394" i="2"/>
  <c r="M1402" i="2"/>
  <c r="M1410" i="2"/>
  <c r="M1418" i="2"/>
  <c r="M1426" i="2"/>
  <c r="M1434" i="2"/>
  <c r="M1442" i="2"/>
  <c r="M1450" i="2"/>
  <c r="M1458" i="2"/>
  <c r="M1466" i="2"/>
  <c r="M1474" i="2"/>
  <c r="M1482" i="2"/>
  <c r="M1490" i="2"/>
  <c r="M1498" i="2"/>
  <c r="M1506" i="2"/>
  <c r="M1514" i="2"/>
  <c r="M1522" i="2"/>
  <c r="M1530" i="2"/>
  <c r="M1538" i="2"/>
  <c r="M1546" i="2"/>
  <c r="M1554" i="2"/>
  <c r="M1562" i="2"/>
  <c r="M1570" i="2"/>
  <c r="M1578" i="2"/>
  <c r="M1586" i="2"/>
  <c r="M1594" i="2"/>
  <c r="M1602" i="2"/>
  <c r="M1610" i="2"/>
  <c r="M1618" i="2"/>
  <c r="M1626" i="2"/>
  <c r="M1634" i="2"/>
  <c r="M1642" i="2"/>
  <c r="M1650" i="2"/>
  <c r="M1658" i="2"/>
  <c r="M1666" i="2"/>
  <c r="M1674" i="2"/>
  <c r="M1682" i="2"/>
  <c r="M1690" i="2"/>
  <c r="M1698" i="2"/>
  <c r="M1706" i="2"/>
  <c r="M1714" i="2"/>
  <c r="M1722" i="2"/>
  <c r="M1730" i="2"/>
  <c r="M1738" i="2"/>
  <c r="M1746" i="2"/>
  <c r="M1754" i="2"/>
  <c r="M1762" i="2"/>
  <c r="M1770" i="2"/>
  <c r="M25" i="2"/>
  <c r="M89" i="2"/>
  <c r="M153" i="2"/>
  <c r="M217" i="2"/>
  <c r="M281" i="2"/>
  <c r="M345" i="2"/>
  <c r="M409" i="2"/>
  <c r="M465" i="2"/>
  <c r="M518" i="2"/>
  <c r="M568" i="2"/>
  <c r="M618" i="2"/>
  <c r="M671" i="2"/>
  <c r="M706" i="2"/>
  <c r="M738" i="2"/>
  <c r="M765" i="2"/>
  <c r="M790" i="2"/>
  <c r="M818" i="2"/>
  <c r="M843" i="2"/>
  <c r="M868" i="2"/>
  <c r="M893" i="2"/>
  <c r="M917" i="2"/>
  <c r="M939" i="2"/>
  <c r="M961" i="2"/>
  <c r="M981" i="2"/>
  <c r="M1001" i="2"/>
  <c r="M1017" i="2"/>
  <c r="M1033" i="2"/>
  <c r="M1049" i="2"/>
  <c r="M1065" i="2"/>
  <c r="M1081" i="2"/>
  <c r="M1097" i="2"/>
  <c r="M1113" i="2"/>
  <c r="M1129" i="2"/>
  <c r="M1145" i="2"/>
  <c r="M1161" i="2"/>
  <c r="M1172" i="2"/>
  <c r="M1186" i="2"/>
  <c r="M1200" i="2"/>
  <c r="M1211" i="2"/>
  <c r="M1225" i="2"/>
  <c r="M1236" i="2"/>
  <c r="M1250" i="2"/>
  <c r="M1264" i="2"/>
  <c r="M1275" i="2"/>
  <c r="M1289" i="2"/>
  <c r="M1299" i="2"/>
  <c r="M1311" i="2"/>
  <c r="M1321" i="2"/>
  <c r="M1331" i="2"/>
  <c r="M1339" i="2"/>
  <c r="M1347" i="2"/>
  <c r="M1355" i="2"/>
  <c r="M1363" i="2"/>
  <c r="M1371" i="2"/>
  <c r="M1379" i="2"/>
  <c r="M1387" i="2"/>
  <c r="M1395" i="2"/>
  <c r="M1403" i="2"/>
  <c r="M1411" i="2"/>
  <c r="M1419" i="2"/>
  <c r="M1427" i="2"/>
  <c r="M1435" i="2"/>
  <c r="M1443" i="2"/>
  <c r="M1451" i="2"/>
  <c r="M1459" i="2"/>
  <c r="M1467" i="2"/>
  <c r="M1475" i="2"/>
  <c r="M1483" i="2"/>
  <c r="M1491" i="2"/>
  <c r="M1499" i="2"/>
  <c r="M1507" i="2"/>
  <c r="M1515" i="2"/>
  <c r="M1523" i="2"/>
  <c r="M1531" i="2"/>
  <c r="M1539" i="2"/>
  <c r="M1547" i="2"/>
  <c r="M1555" i="2"/>
  <c r="M1563" i="2"/>
  <c r="M1571" i="2"/>
  <c r="M1579" i="2"/>
  <c r="M1587" i="2"/>
  <c r="M1595" i="2"/>
  <c r="M1603" i="2"/>
  <c r="M1611" i="2"/>
  <c r="M1619" i="2"/>
  <c r="M1627" i="2"/>
  <c r="M1635" i="2"/>
  <c r="M1643" i="2"/>
  <c r="M1651" i="2"/>
  <c r="M1659" i="2"/>
  <c r="M1667" i="2"/>
  <c r="M1675" i="2"/>
  <c r="M1683" i="2"/>
  <c r="M1691" i="2"/>
  <c r="M1699" i="2"/>
  <c r="M1707" i="2"/>
  <c r="M1715" i="2"/>
  <c r="M1723" i="2"/>
  <c r="M1731" i="2"/>
  <c r="M1739" i="2"/>
  <c r="M1747" i="2"/>
  <c r="M1755" i="2"/>
  <c r="M1763" i="2"/>
  <c r="M1771" i="2"/>
  <c r="M30" i="2"/>
  <c r="M94" i="2"/>
  <c r="M158" i="2"/>
  <c r="M222" i="2"/>
  <c r="M286" i="2"/>
  <c r="M350" i="2"/>
  <c r="M414" i="2"/>
  <c r="M466" i="2"/>
  <c r="M519" i="2"/>
  <c r="M569" i="2"/>
  <c r="M622" i="2"/>
  <c r="M672" i="2"/>
  <c r="M707" i="2"/>
  <c r="M739" i="2"/>
  <c r="M766" i="2"/>
  <c r="M794" i="2"/>
  <c r="M819" i="2"/>
  <c r="M844" i="2"/>
  <c r="M869" i="2"/>
  <c r="M894" i="2"/>
  <c r="M918" i="2"/>
  <c r="M940" i="2"/>
  <c r="M962" i="2"/>
  <c r="M982" i="2"/>
  <c r="M1002" i="2"/>
  <c r="M1018" i="2"/>
  <c r="M1034" i="2"/>
  <c r="M1050" i="2"/>
  <c r="M1066" i="2"/>
  <c r="M1082" i="2"/>
  <c r="M1098" i="2"/>
  <c r="M1114" i="2"/>
  <c r="M1130" i="2"/>
  <c r="M1146" i="2"/>
  <c r="M1162" i="2"/>
  <c r="M1176" i="2"/>
  <c r="M1187" i="2"/>
  <c r="M1201" i="2"/>
  <c r="M1212" i="2"/>
  <c r="M1226" i="2"/>
  <c r="M1240" i="2"/>
  <c r="M1251" i="2"/>
  <c r="M1265" i="2"/>
  <c r="M1276" i="2"/>
  <c r="M1290" i="2"/>
  <c r="M1300" i="2"/>
  <c r="M1312" i="2"/>
  <c r="M1322" i="2"/>
  <c r="M1332" i="2"/>
  <c r="M1340" i="2"/>
  <c r="M1348" i="2"/>
  <c r="M1356" i="2"/>
  <c r="M1364" i="2"/>
  <c r="M1372" i="2"/>
  <c r="M1380" i="2"/>
  <c r="M1388" i="2"/>
  <c r="M1396" i="2"/>
  <c r="M1404" i="2"/>
  <c r="M1412" i="2"/>
  <c r="M1420" i="2"/>
  <c r="M1428" i="2"/>
  <c r="M1436" i="2"/>
  <c r="M1444" i="2"/>
  <c r="M1452" i="2"/>
  <c r="M1460" i="2"/>
  <c r="M1468" i="2"/>
  <c r="M1476" i="2"/>
  <c r="M1484" i="2"/>
  <c r="M1492" i="2"/>
  <c r="M1500" i="2"/>
  <c r="M1508" i="2"/>
  <c r="M1516" i="2"/>
  <c r="M1524" i="2"/>
  <c r="M1532" i="2"/>
  <c r="M1540" i="2"/>
  <c r="M1548" i="2"/>
  <c r="M1556" i="2"/>
  <c r="M1564" i="2"/>
  <c r="M1572" i="2"/>
  <c r="M1580" i="2"/>
  <c r="M1588" i="2"/>
  <c r="M1596" i="2"/>
  <c r="M1604" i="2"/>
  <c r="M1612" i="2"/>
  <c r="M1620" i="2"/>
  <c r="M1628" i="2"/>
  <c r="M1636" i="2"/>
  <c r="M1644" i="2"/>
  <c r="M1652" i="2"/>
  <c r="M1660" i="2"/>
  <c r="M1668" i="2"/>
  <c r="M1676" i="2"/>
  <c r="M1684" i="2"/>
  <c r="M1692" i="2"/>
  <c r="M1700" i="2"/>
  <c r="M1708" i="2"/>
  <c r="M1716" i="2"/>
  <c r="M1724" i="2"/>
  <c r="M1732" i="2"/>
  <c r="M1740" i="2"/>
  <c r="M62" i="2"/>
  <c r="M126" i="2"/>
  <c r="M190" i="2"/>
  <c r="M254" i="2"/>
  <c r="M318" i="2"/>
  <c r="M382" i="2"/>
  <c r="M441" i="2"/>
  <c r="M494" i="2"/>
  <c r="M544" i="2"/>
  <c r="M594" i="2"/>
  <c r="M647" i="2"/>
  <c r="M691" i="2"/>
  <c r="M723" i="2"/>
  <c r="M755" i="2"/>
  <c r="M780" i="2"/>
  <c r="M805" i="2"/>
  <c r="M830" i="2"/>
  <c r="M858" i="2"/>
  <c r="M883" i="2"/>
  <c r="M908" i="2"/>
  <c r="M930" i="2"/>
  <c r="M950" i="2"/>
  <c r="M972" i="2"/>
  <c r="M993" i="2"/>
  <c r="M1010" i="2"/>
  <c r="M1026" i="2"/>
  <c r="M1042" i="2"/>
  <c r="M1058" i="2"/>
  <c r="M1074" i="2"/>
  <c r="M1090" i="2"/>
  <c r="M1106" i="2"/>
  <c r="M1122" i="2"/>
  <c r="M1138" i="2"/>
  <c r="M1154" i="2"/>
  <c r="M1169" i="2"/>
  <c r="M1180" i="2"/>
  <c r="M1194" i="2"/>
  <c r="M1208" i="2"/>
  <c r="M1219" i="2"/>
  <c r="M1233" i="2"/>
  <c r="M1244" i="2"/>
  <c r="M1258" i="2"/>
  <c r="M1272" i="2"/>
  <c r="M1283" i="2"/>
  <c r="M1296" i="2"/>
  <c r="M1306" i="2"/>
  <c r="M1316" i="2"/>
  <c r="M1328" i="2"/>
  <c r="M1336" i="2"/>
  <c r="M1344" i="2"/>
  <c r="M1352" i="2"/>
  <c r="M1360" i="2"/>
  <c r="M1368" i="2"/>
  <c r="M1376" i="2"/>
  <c r="M1384" i="2"/>
  <c r="M1392" i="2"/>
  <c r="M1400" i="2"/>
  <c r="M1408" i="2"/>
  <c r="M1416" i="2"/>
  <c r="M1424" i="2"/>
  <c r="M1432" i="2"/>
  <c r="M1440" i="2"/>
  <c r="M1448" i="2"/>
  <c r="M1456" i="2"/>
  <c r="M1464" i="2"/>
  <c r="M1472" i="2"/>
  <c r="M1480" i="2"/>
  <c r="M1488" i="2"/>
  <c r="M1496" i="2"/>
  <c r="M1504" i="2"/>
  <c r="M1512" i="2"/>
  <c r="M1520" i="2"/>
  <c r="M1528" i="2"/>
  <c r="M1536" i="2"/>
  <c r="M1544" i="2"/>
  <c r="M1552" i="2"/>
  <c r="M1560" i="2"/>
  <c r="M1568" i="2"/>
  <c r="M1576" i="2"/>
  <c r="M1584" i="2"/>
  <c r="M1592" i="2"/>
  <c r="M1600" i="2"/>
  <c r="M1608" i="2"/>
  <c r="M1616" i="2"/>
  <c r="M1624" i="2"/>
  <c r="M31" i="2"/>
  <c r="M159" i="2"/>
  <c r="M287" i="2"/>
  <c r="M415" i="2"/>
  <c r="M520" i="2"/>
  <c r="M623" i="2"/>
  <c r="M708" i="2"/>
  <c r="M770" i="2"/>
  <c r="M820" i="2"/>
  <c r="M870" i="2"/>
  <c r="M921" i="2"/>
  <c r="M963" i="2"/>
  <c r="M1003" i="2"/>
  <c r="M1035" i="2"/>
  <c r="M1067" i="2"/>
  <c r="M1099" i="2"/>
  <c r="M1131" i="2"/>
  <c r="M1163" i="2"/>
  <c r="M1188" i="2"/>
  <c r="M1216" i="2"/>
  <c r="M1241" i="2"/>
  <c r="M1266" i="2"/>
  <c r="M1291" i="2"/>
  <c r="M1313" i="2"/>
  <c r="M1333" i="2"/>
  <c r="M1349" i="2"/>
  <c r="M1365" i="2"/>
  <c r="M1381" i="2"/>
  <c r="M1397" i="2"/>
  <c r="M1413" i="2"/>
  <c r="M1429" i="2"/>
  <c r="M1445" i="2"/>
  <c r="M1461" i="2"/>
  <c r="M1477" i="2"/>
  <c r="M1493" i="2"/>
  <c r="M1509" i="2"/>
  <c r="M1525" i="2"/>
  <c r="M1541" i="2"/>
  <c r="M1557" i="2"/>
  <c r="M1573" i="2"/>
  <c r="M1589" i="2"/>
  <c r="M1605" i="2"/>
  <c r="M1621" i="2"/>
  <c r="M1633" i="2"/>
  <c r="M1647" i="2"/>
  <c r="M1661" i="2"/>
  <c r="M1672" i="2"/>
  <c r="M1686" i="2"/>
  <c r="M1697" i="2"/>
  <c r="M1711" i="2"/>
  <c r="M1725" i="2"/>
  <c r="M1736" i="2"/>
  <c r="M1749" i="2"/>
  <c r="M1759" i="2"/>
  <c r="M1769" i="2"/>
  <c r="M1779" i="2"/>
  <c r="M1787" i="2"/>
  <c r="M1795" i="2"/>
  <c r="M1803" i="2"/>
  <c r="M1811" i="2"/>
  <c r="M1819" i="2"/>
  <c r="M1827" i="2"/>
  <c r="M1835" i="2"/>
  <c r="M1843" i="2"/>
  <c r="M1851" i="2"/>
  <c r="M1859" i="2"/>
  <c r="M1867" i="2"/>
  <c r="M1875" i="2"/>
  <c r="M1883" i="2"/>
  <c r="M1891" i="2"/>
  <c r="M1899" i="2"/>
  <c r="M1907" i="2"/>
  <c r="M1915" i="2"/>
  <c r="M1923" i="2"/>
  <c r="M1931" i="2"/>
  <c r="M1939" i="2"/>
  <c r="M1947" i="2"/>
  <c r="M1955" i="2"/>
  <c r="M1963" i="2"/>
  <c r="M1971" i="2"/>
  <c r="M1979" i="2"/>
  <c r="M1987" i="2"/>
  <c r="M1995" i="2"/>
  <c r="M319" i="2"/>
  <c r="M442" i="2"/>
  <c r="M724" i="2"/>
  <c r="M834" i="2"/>
  <c r="M973" i="2"/>
  <c r="M1075" i="2"/>
  <c r="M1170" i="2"/>
  <c r="M1248" i="2"/>
  <c r="M1319" i="2"/>
  <c r="M1353" i="2"/>
  <c r="M1385" i="2"/>
  <c r="M1433" i="2"/>
  <c r="M1465" i="2"/>
  <c r="M1513" i="2"/>
  <c r="M1545" i="2"/>
  <c r="M1593" i="2"/>
  <c r="M1639" i="2"/>
  <c r="M1664" i="2"/>
  <c r="M1689" i="2"/>
  <c r="M1728" i="2"/>
  <c r="M1764" i="2"/>
  <c r="M1782" i="2"/>
  <c r="M1798" i="2"/>
  <c r="M1822" i="2"/>
  <c r="M1838" i="2"/>
  <c r="M1854" i="2"/>
  <c r="M1878" i="2"/>
  <c r="M1902" i="2"/>
  <c r="M1918" i="2"/>
  <c r="M1934" i="2"/>
  <c r="M1958" i="2"/>
  <c r="M1974" i="2"/>
  <c r="M1998" i="2"/>
  <c r="M95" i="2"/>
  <c r="M570" i="2"/>
  <c r="M740" i="2"/>
  <c r="M898" i="2"/>
  <c r="M1019" i="2"/>
  <c r="M1115" i="2"/>
  <c r="M1177" i="2"/>
  <c r="M1252" i="2"/>
  <c r="M1323" i="2"/>
  <c r="M1357" i="2"/>
  <c r="M1405" i="2"/>
  <c r="M1437" i="2"/>
  <c r="M1485" i="2"/>
  <c r="M1533" i="2"/>
  <c r="M1565" i="2"/>
  <c r="M1613" i="2"/>
  <c r="M1654" i="2"/>
  <c r="M1679" i="2"/>
  <c r="M1704" i="2"/>
  <c r="M1743" i="2"/>
  <c r="M1775" i="2"/>
  <c r="M1791" i="2"/>
  <c r="M1807" i="2"/>
  <c r="M1831" i="2"/>
  <c r="M1847" i="2"/>
  <c r="M1863" i="2"/>
  <c r="M1887" i="2"/>
  <c r="M1911" i="2"/>
  <c r="M1935" i="2"/>
  <c r="M1967" i="2"/>
  <c r="M1999" i="2"/>
  <c r="M368" i="2"/>
  <c r="M585" i="2"/>
  <c r="M853" i="2"/>
  <c r="M990" i="2"/>
  <c r="M48" i="2"/>
  <c r="M176" i="2"/>
  <c r="M304" i="2"/>
  <c r="M432" i="2"/>
  <c r="M535" i="2"/>
  <c r="M638" i="2"/>
  <c r="M717" i="2"/>
  <c r="M778" i="2"/>
  <c r="M828" i="2"/>
  <c r="M878" i="2"/>
  <c r="M926" i="2"/>
  <c r="M970" i="2"/>
  <c r="M1008" i="2"/>
  <c r="M1040" i="2"/>
  <c r="M1072" i="2"/>
  <c r="M1104" i="2"/>
  <c r="M1136" i="2"/>
  <c r="M1164" i="2"/>
  <c r="M1192" i="2"/>
  <c r="M1217" i="2"/>
  <c r="M1242" i="2"/>
  <c r="M1267" i="2"/>
  <c r="M1292" i="2"/>
  <c r="M1314" i="2"/>
  <c r="M1334" i="2"/>
  <c r="M1350" i="2"/>
  <c r="M1366" i="2"/>
  <c r="M1382" i="2"/>
  <c r="M1398" i="2"/>
  <c r="M1414" i="2"/>
  <c r="M1430" i="2"/>
  <c r="M1446" i="2"/>
  <c r="M1462" i="2"/>
  <c r="M1478" i="2"/>
  <c r="M1494" i="2"/>
  <c r="M1510" i="2"/>
  <c r="M1526" i="2"/>
  <c r="M1542" i="2"/>
  <c r="M1558" i="2"/>
  <c r="M1574" i="2"/>
  <c r="M1590" i="2"/>
  <c r="M1606" i="2"/>
  <c r="M1622" i="2"/>
  <c r="M1637" i="2"/>
  <c r="M1648" i="2"/>
  <c r="M1662" i="2"/>
  <c r="M1673" i="2"/>
  <c r="M1687" i="2"/>
  <c r="M1701" i="2"/>
  <c r="M1712" i="2"/>
  <c r="M1726" i="2"/>
  <c r="M1737" i="2"/>
  <c r="M1750" i="2"/>
  <c r="M1760" i="2"/>
  <c r="M1772" i="2"/>
  <c r="M1780" i="2"/>
  <c r="M1788" i="2"/>
  <c r="M1796" i="2"/>
  <c r="M1804" i="2"/>
  <c r="M1812" i="2"/>
  <c r="M1820" i="2"/>
  <c r="M1828" i="2"/>
  <c r="M1836" i="2"/>
  <c r="M1844" i="2"/>
  <c r="M1852" i="2"/>
  <c r="M1860" i="2"/>
  <c r="M1868" i="2"/>
  <c r="M1876" i="2"/>
  <c r="M1884" i="2"/>
  <c r="M1892" i="2"/>
  <c r="M1900" i="2"/>
  <c r="M1908" i="2"/>
  <c r="M1916" i="2"/>
  <c r="M1924" i="2"/>
  <c r="M1932" i="2"/>
  <c r="M1940" i="2"/>
  <c r="M1948" i="2"/>
  <c r="M1956" i="2"/>
  <c r="M1964" i="2"/>
  <c r="M1972" i="2"/>
  <c r="M1980" i="2"/>
  <c r="M1988" i="2"/>
  <c r="M1996" i="2"/>
  <c r="M191" i="2"/>
  <c r="M545" i="2"/>
  <c r="M781" i="2"/>
  <c r="M931" i="2"/>
  <c r="M1043" i="2"/>
  <c r="M1139" i="2"/>
  <c r="M1220" i="2"/>
  <c r="M1297" i="2"/>
  <c r="M1369" i="2"/>
  <c r="M1417" i="2"/>
  <c r="M1481" i="2"/>
  <c r="M1529" i="2"/>
  <c r="M1577" i="2"/>
  <c r="M1625" i="2"/>
  <c r="M1678" i="2"/>
  <c r="M1717" i="2"/>
  <c r="M1752" i="2"/>
  <c r="M1790" i="2"/>
  <c r="M1814" i="2"/>
  <c r="M1846" i="2"/>
  <c r="M1870" i="2"/>
  <c r="M1894" i="2"/>
  <c r="M1926" i="2"/>
  <c r="M1950" i="2"/>
  <c r="M1982" i="2"/>
  <c r="M223" i="2"/>
  <c r="M470" i="2"/>
  <c r="M795" i="2"/>
  <c r="M985" i="2"/>
  <c r="M1083" i="2"/>
  <c r="M1202" i="2"/>
  <c r="M1280" i="2"/>
  <c r="M1341" i="2"/>
  <c r="M1389" i="2"/>
  <c r="M1453" i="2"/>
  <c r="M1501" i="2"/>
  <c r="M1549" i="2"/>
  <c r="M1597" i="2"/>
  <c r="M1640" i="2"/>
  <c r="M1693" i="2"/>
  <c r="M1729" i="2"/>
  <c r="M1765" i="2"/>
  <c r="M1799" i="2"/>
  <c r="M1823" i="2"/>
  <c r="M1855" i="2"/>
  <c r="M1879" i="2"/>
  <c r="M1903" i="2"/>
  <c r="M1943" i="2"/>
  <c r="M1983" i="2"/>
  <c r="M240" i="2"/>
  <c r="M803" i="2"/>
  <c r="M1024" i="2"/>
  <c r="M57" i="2"/>
  <c r="M185" i="2"/>
  <c r="M313" i="2"/>
  <c r="M440" i="2"/>
  <c r="M543" i="2"/>
  <c r="M646" i="2"/>
  <c r="M722" i="2"/>
  <c r="M779" i="2"/>
  <c r="M829" i="2"/>
  <c r="M882" i="2"/>
  <c r="M929" i="2"/>
  <c r="M971" i="2"/>
  <c r="M1009" i="2"/>
  <c r="M1041" i="2"/>
  <c r="M1073" i="2"/>
  <c r="M1105" i="2"/>
  <c r="M1137" i="2"/>
  <c r="M1168" i="2"/>
  <c r="M1193" i="2"/>
  <c r="M1218" i="2"/>
  <c r="M1243" i="2"/>
  <c r="M1268" i="2"/>
  <c r="M1295" i="2"/>
  <c r="M1315" i="2"/>
  <c r="M1335" i="2"/>
  <c r="M1351" i="2"/>
  <c r="M1367" i="2"/>
  <c r="M1383" i="2"/>
  <c r="M1399" i="2"/>
  <c r="M1415" i="2"/>
  <c r="M1431" i="2"/>
  <c r="M1447" i="2"/>
  <c r="M1463" i="2"/>
  <c r="M1479" i="2"/>
  <c r="M1495" i="2"/>
  <c r="M1511" i="2"/>
  <c r="M1527" i="2"/>
  <c r="M1543" i="2"/>
  <c r="M1559" i="2"/>
  <c r="M1575" i="2"/>
  <c r="M1591" i="2"/>
  <c r="M1607" i="2"/>
  <c r="M1623" i="2"/>
  <c r="M1638" i="2"/>
  <c r="M1649" i="2"/>
  <c r="M1663" i="2"/>
  <c r="M1677" i="2"/>
  <c r="M1688" i="2"/>
  <c r="M1702" i="2"/>
  <c r="M1713" i="2"/>
  <c r="M1727" i="2"/>
  <c r="M1741" i="2"/>
  <c r="M1751" i="2"/>
  <c r="M1761" i="2"/>
  <c r="M1773" i="2"/>
  <c r="M1781" i="2"/>
  <c r="M1789" i="2"/>
  <c r="M1797" i="2"/>
  <c r="M1805" i="2"/>
  <c r="M1813" i="2"/>
  <c r="M1821" i="2"/>
  <c r="M1829" i="2"/>
  <c r="M1837" i="2"/>
  <c r="M1845" i="2"/>
  <c r="M1853" i="2"/>
  <c r="M1861" i="2"/>
  <c r="M1869" i="2"/>
  <c r="M1877" i="2"/>
  <c r="M1885" i="2"/>
  <c r="M1893" i="2"/>
  <c r="M1901" i="2"/>
  <c r="M1909" i="2"/>
  <c r="M1917" i="2"/>
  <c r="M1925" i="2"/>
  <c r="M1933" i="2"/>
  <c r="M1941" i="2"/>
  <c r="M1949" i="2"/>
  <c r="M1957" i="2"/>
  <c r="M1965" i="2"/>
  <c r="M1973" i="2"/>
  <c r="M1981" i="2"/>
  <c r="M1989" i="2"/>
  <c r="M1997" i="2"/>
  <c r="M63" i="2"/>
  <c r="M648" i="2"/>
  <c r="M884" i="2"/>
  <c r="M1011" i="2"/>
  <c r="M1107" i="2"/>
  <c r="M1195" i="2"/>
  <c r="M1273" i="2"/>
  <c r="M1337" i="2"/>
  <c r="M1401" i="2"/>
  <c r="M1449" i="2"/>
  <c r="M1497" i="2"/>
  <c r="M1561" i="2"/>
  <c r="M1609" i="2"/>
  <c r="M1653" i="2"/>
  <c r="M1703" i="2"/>
  <c r="M1742" i="2"/>
  <c r="M1774" i="2"/>
  <c r="M1806" i="2"/>
  <c r="M1830" i="2"/>
  <c r="M1862" i="2"/>
  <c r="M1886" i="2"/>
  <c r="M1910" i="2"/>
  <c r="M1942" i="2"/>
  <c r="M1966" i="2"/>
  <c r="M1990" i="2"/>
  <c r="M351" i="2"/>
  <c r="M673" i="2"/>
  <c r="M845" i="2"/>
  <c r="M941" i="2"/>
  <c r="M1051" i="2"/>
  <c r="M1147" i="2"/>
  <c r="M1227" i="2"/>
  <c r="M1303" i="2"/>
  <c r="M1373" i="2"/>
  <c r="M1421" i="2"/>
  <c r="M1469" i="2"/>
  <c r="M1517" i="2"/>
  <c r="M1581" i="2"/>
  <c r="M1629" i="2"/>
  <c r="M1665" i="2"/>
  <c r="M1718" i="2"/>
  <c r="M1753" i="2"/>
  <c r="M1783" i="2"/>
  <c r="M1815" i="2"/>
  <c r="M1839" i="2"/>
  <c r="M1871" i="2"/>
  <c r="M1895" i="2"/>
  <c r="M1927" i="2"/>
  <c r="M1959" i="2"/>
  <c r="M1991" i="2"/>
  <c r="M482" i="2"/>
  <c r="M749" i="2"/>
  <c r="M906" i="2"/>
  <c r="M1056" i="2"/>
  <c r="M121" i="2"/>
  <c r="M249" i="2"/>
  <c r="M377" i="2"/>
  <c r="M490" i="2"/>
  <c r="M593" i="2"/>
  <c r="M690" i="2"/>
  <c r="M754" i="2"/>
  <c r="M804" i="2"/>
  <c r="M854" i="2"/>
  <c r="M907" i="2"/>
  <c r="M949" i="2"/>
  <c r="M992" i="2"/>
  <c r="M1025" i="2"/>
  <c r="M1057" i="2"/>
  <c r="M1089" i="2"/>
  <c r="M1121" i="2"/>
  <c r="M1153" i="2"/>
  <c r="M1179" i="2"/>
  <c r="M1204" i="2"/>
  <c r="M1232" i="2"/>
  <c r="M1257" i="2"/>
  <c r="M1282" i="2"/>
  <c r="M1305" i="2"/>
  <c r="M1327" i="2"/>
  <c r="M1343" i="2"/>
  <c r="M1359" i="2"/>
  <c r="M1375" i="2"/>
  <c r="M1391" i="2"/>
  <c r="M1407" i="2"/>
  <c r="M1423" i="2"/>
  <c r="M1439" i="2"/>
  <c r="M1455" i="2"/>
  <c r="M1471" i="2"/>
  <c r="M1487" i="2"/>
  <c r="M1503" i="2"/>
  <c r="M1519" i="2"/>
  <c r="M1535" i="2"/>
  <c r="M1551" i="2"/>
  <c r="M1567" i="2"/>
  <c r="M1583" i="2"/>
  <c r="M1599" i="2"/>
  <c r="M1615" i="2"/>
  <c r="M1631" i="2"/>
  <c r="M1645" i="2"/>
  <c r="M1656" i="2"/>
  <c r="M1670" i="2"/>
  <c r="M1681" i="2"/>
  <c r="M1695" i="2"/>
  <c r="M1709" i="2"/>
  <c r="M1720" i="2"/>
  <c r="M1734" i="2"/>
  <c r="M1745" i="2"/>
  <c r="M1757" i="2"/>
  <c r="M1767" i="2"/>
  <c r="M1777" i="2"/>
  <c r="M1785" i="2"/>
  <c r="M1793" i="2"/>
  <c r="M1801" i="2"/>
  <c r="M1809" i="2"/>
  <c r="M1817" i="2"/>
  <c r="M1825" i="2"/>
  <c r="M1833" i="2"/>
  <c r="M1841" i="2"/>
  <c r="M1849" i="2"/>
  <c r="M1857" i="2"/>
  <c r="M1865" i="2"/>
  <c r="M1873" i="2"/>
  <c r="M1881" i="2"/>
  <c r="M1889" i="2"/>
  <c r="M1897" i="2"/>
  <c r="M1905" i="2"/>
  <c r="M1913" i="2"/>
  <c r="M1921" i="2"/>
  <c r="M1929" i="2"/>
  <c r="M1937" i="2"/>
  <c r="M1945" i="2"/>
  <c r="M1953" i="2"/>
  <c r="M1961" i="2"/>
  <c r="M1969" i="2"/>
  <c r="M1977" i="2"/>
  <c r="M1985" i="2"/>
  <c r="M1993" i="2"/>
  <c r="M127" i="2"/>
  <c r="M255" i="2"/>
  <c r="M383" i="2"/>
  <c r="M495" i="2"/>
  <c r="M598" i="2"/>
  <c r="M692" i="2"/>
  <c r="M756" i="2"/>
  <c r="M806" i="2"/>
  <c r="M859" i="2"/>
  <c r="M909" i="2"/>
  <c r="M953" i="2"/>
  <c r="M994" i="2"/>
  <c r="M1027" i="2"/>
  <c r="M1059" i="2"/>
  <c r="M1091" i="2"/>
  <c r="M1123" i="2"/>
  <c r="M1155" i="2"/>
  <c r="M1184" i="2"/>
  <c r="M1209" i="2"/>
  <c r="M1234" i="2"/>
  <c r="M1259" i="2"/>
  <c r="M1284" i="2"/>
  <c r="M1307" i="2"/>
  <c r="M1329" i="2"/>
  <c r="M1345" i="2"/>
  <c r="M1361" i="2"/>
  <c r="M1377" i="2"/>
  <c r="M1393" i="2"/>
  <c r="M1409" i="2"/>
  <c r="M1425" i="2"/>
  <c r="M1441" i="2"/>
  <c r="M1457" i="2"/>
  <c r="M1473" i="2"/>
  <c r="M1489" i="2"/>
  <c r="M1505" i="2"/>
  <c r="M1521" i="2"/>
  <c r="M1537" i="2"/>
  <c r="M1553" i="2"/>
  <c r="M1569" i="2"/>
  <c r="M1585" i="2"/>
  <c r="M1601" i="2"/>
  <c r="M1617" i="2"/>
  <c r="M1632" i="2"/>
  <c r="M1646" i="2"/>
  <c r="M1657" i="2"/>
  <c r="M1671" i="2"/>
  <c r="M1685" i="2"/>
  <c r="M1696" i="2"/>
  <c r="M1710" i="2"/>
  <c r="M1721" i="2"/>
  <c r="M1735" i="2"/>
  <c r="M1748" i="2"/>
  <c r="M1758" i="2"/>
  <c r="M1768" i="2"/>
  <c r="M1778" i="2"/>
  <c r="M1786" i="2"/>
  <c r="M1794" i="2"/>
  <c r="M1802" i="2"/>
  <c r="M1810" i="2"/>
  <c r="M1818" i="2"/>
  <c r="M1826" i="2"/>
  <c r="M1834" i="2"/>
  <c r="M1842" i="2"/>
  <c r="M1850" i="2"/>
  <c r="M1858" i="2"/>
  <c r="M1866" i="2"/>
  <c r="M1874" i="2"/>
  <c r="M1882" i="2"/>
  <c r="M1890" i="2"/>
  <c r="M1898" i="2"/>
  <c r="M1906" i="2"/>
  <c r="M1914" i="2"/>
  <c r="M1922" i="2"/>
  <c r="M1930" i="2"/>
  <c r="M1938" i="2"/>
  <c r="M1946" i="2"/>
  <c r="M1954" i="2"/>
  <c r="M1962" i="2"/>
  <c r="M1970" i="2"/>
  <c r="M1978" i="2"/>
  <c r="M1986" i="2"/>
  <c r="M1994" i="2"/>
  <c r="M1919" i="2"/>
  <c r="M1951" i="2"/>
  <c r="M1975" i="2"/>
  <c r="M112" i="2"/>
  <c r="M685" i="2"/>
  <c r="M948" i="2"/>
  <c r="M1088" i="2"/>
  <c r="M1304" i="2"/>
  <c r="M1438" i="2"/>
  <c r="M1566" i="2"/>
  <c r="M1680" i="2"/>
  <c r="M1776" i="2"/>
  <c r="M1840" i="2"/>
  <c r="M1904" i="2"/>
  <c r="M1968" i="2"/>
  <c r="M1848" i="2"/>
  <c r="M1976" i="2"/>
  <c r="M1470" i="2"/>
  <c r="M1792" i="2"/>
  <c r="M1920" i="2"/>
  <c r="M1984" i="2"/>
  <c r="M1358" i="2"/>
  <c r="M1614" i="2"/>
  <c r="M1864" i="2"/>
  <c r="M1992" i="2"/>
  <c r="M1502" i="2"/>
  <c r="M1733" i="2"/>
  <c r="M1936" i="2"/>
  <c r="M1390" i="2"/>
  <c r="M1641" i="2"/>
  <c r="M1816" i="2"/>
  <c r="M1944" i="2"/>
  <c r="M1534" i="2"/>
  <c r="M1756" i="2"/>
  <c r="M1952" i="2"/>
  <c r="M1281" i="2"/>
  <c r="M1669" i="2"/>
  <c r="M1896" i="2"/>
  <c r="M1120" i="2"/>
  <c r="M1324" i="2"/>
  <c r="M1454" i="2"/>
  <c r="M1582" i="2"/>
  <c r="M1694" i="2"/>
  <c r="M1784" i="2"/>
  <c r="M1912" i="2"/>
  <c r="M1598" i="2"/>
  <c r="M1856" i="2"/>
  <c r="M1178" i="2"/>
  <c r="M1486" i="2"/>
  <c r="M1800" i="2"/>
  <c r="M1203" i="2"/>
  <c r="M1630" i="2"/>
  <c r="M1872" i="2"/>
  <c r="M1228" i="2"/>
  <c r="M1518" i="2"/>
  <c r="M1744" i="2"/>
  <c r="M1880" i="2"/>
  <c r="M1406" i="2"/>
  <c r="M1824" i="2"/>
  <c r="M1422" i="2"/>
  <c r="M1766" i="2"/>
  <c r="M1960" i="2"/>
  <c r="M1152" i="2"/>
  <c r="M1342" i="2"/>
  <c r="M1705" i="2"/>
  <c r="M1719" i="2"/>
  <c r="M1928" i="2"/>
  <c r="M1374" i="2"/>
  <c r="M1808" i="2"/>
  <c r="M2" i="2"/>
  <c r="M1256" i="2"/>
  <c r="M1655" i="2"/>
  <c r="M1888" i="2"/>
  <c r="M1550" i="2"/>
  <c r="M1832" i="2"/>
  <c r="L3" i="2"/>
  <c r="L11" i="2"/>
  <c r="L15" i="2"/>
  <c r="L14" i="2"/>
  <c r="L19" i="2"/>
  <c r="L28" i="2"/>
  <c r="L37" i="2"/>
  <c r="L42" i="2"/>
  <c r="L51" i="2"/>
  <c r="L60" i="2"/>
  <c r="L69" i="2"/>
  <c r="L74" i="2"/>
  <c r="L83" i="2"/>
  <c r="L92" i="2"/>
  <c r="L101" i="2"/>
  <c r="L106" i="2"/>
  <c r="L115" i="2"/>
  <c r="L124" i="2"/>
  <c r="L133" i="2"/>
  <c r="L138" i="2"/>
  <c r="L147" i="2"/>
  <c r="L156" i="2"/>
  <c r="L165" i="2"/>
  <c r="L170" i="2"/>
  <c r="L179" i="2"/>
  <c r="L188" i="2"/>
  <c r="L197" i="2"/>
  <c r="L202" i="2"/>
  <c r="L211" i="2"/>
  <c r="L220" i="2"/>
  <c r="L229" i="2"/>
  <c r="L234" i="2"/>
  <c r="L243" i="2"/>
  <c r="L252" i="2"/>
  <c r="L261" i="2"/>
  <c r="L266" i="2"/>
  <c r="L275" i="2"/>
  <c r="L284" i="2"/>
  <c r="L293" i="2"/>
  <c r="L298" i="2"/>
  <c r="L307" i="2"/>
  <c r="L316" i="2"/>
  <c r="L325" i="2"/>
  <c r="L330" i="2"/>
  <c r="L339" i="2"/>
  <c r="L348" i="2"/>
  <c r="L22" i="2"/>
  <c r="L27" i="2"/>
  <c r="L32" i="2"/>
  <c r="L38" i="2"/>
  <c r="L43" i="2"/>
  <c r="L48" i="2"/>
  <c r="L53" i="2"/>
  <c r="L17" i="2"/>
  <c r="L33" i="2"/>
  <c r="L54" i="2"/>
  <c r="L59" i="2"/>
  <c r="L64" i="2"/>
  <c r="L70" i="2"/>
  <c r="L75" i="2"/>
  <c r="L80" i="2"/>
  <c r="L85" i="2"/>
  <c r="L122" i="2"/>
  <c r="L127" i="2"/>
  <c r="L132" i="2"/>
  <c r="L137" i="2"/>
  <c r="L143" i="2"/>
  <c r="L148" i="2"/>
  <c r="L153" i="2"/>
  <c r="L174" i="2"/>
  <c r="L190" i="2"/>
  <c r="L195" i="2"/>
  <c r="L200" i="2"/>
  <c r="L205" i="2"/>
  <c r="L216" i="2"/>
  <c r="L221" i="2"/>
  <c r="L242" i="2"/>
  <c r="L247" i="2"/>
  <c r="L258" i="2"/>
  <c r="L263" i="2"/>
  <c r="L268" i="2"/>
  <c r="L12" i="2"/>
  <c r="L18" i="2"/>
  <c r="L23" i="2"/>
  <c r="L34" i="2"/>
  <c r="L39" i="2"/>
  <c r="L44" i="2"/>
  <c r="L49" i="2"/>
  <c r="L65" i="2"/>
  <c r="L86" i="2"/>
  <c r="L26" i="2"/>
  <c r="L31" i="2"/>
  <c r="L36" i="2"/>
  <c r="L41" i="2"/>
  <c r="L47" i="2"/>
  <c r="L52" i="2"/>
  <c r="L57" i="2"/>
  <c r="L78" i="2"/>
  <c r="L94" i="2"/>
  <c r="L99" i="2"/>
  <c r="L104" i="2"/>
  <c r="L109" i="2"/>
  <c r="L120" i="2"/>
  <c r="L125" i="2"/>
  <c r="L146" i="2"/>
  <c r="L151" i="2"/>
  <c r="L162" i="2"/>
  <c r="L167" i="2"/>
  <c r="L172" i="2"/>
  <c r="L177" i="2"/>
  <c r="L193" i="2"/>
  <c r="L214" i="2"/>
  <c r="L219" i="2"/>
  <c r="L224" i="2"/>
  <c r="L230" i="2"/>
  <c r="L235" i="2"/>
  <c r="L240" i="2"/>
  <c r="L245" i="2"/>
  <c r="L282" i="2"/>
  <c r="L287" i="2"/>
  <c r="L292" i="2"/>
  <c r="L297" i="2"/>
  <c r="L303" i="2"/>
  <c r="L308" i="2"/>
  <c r="L313" i="2"/>
  <c r="L334" i="2"/>
  <c r="L350" i="2"/>
  <c r="L359" i="2"/>
  <c r="L368" i="2"/>
  <c r="L373" i="2"/>
  <c r="L382" i="2"/>
  <c r="L391" i="2"/>
  <c r="L24" i="2"/>
  <c r="L55" i="2"/>
  <c r="L63" i="2"/>
  <c r="L88" i="2"/>
  <c r="L95" i="2"/>
  <c r="L116" i="2"/>
  <c r="L123" i="2"/>
  <c r="L130" i="2"/>
  <c r="L144" i="2"/>
  <c r="L158" i="2"/>
  <c r="L186" i="2"/>
  <c r="L192" i="2"/>
  <c r="L207" i="2"/>
  <c r="L213" i="2"/>
  <c r="L241" i="2"/>
  <c r="L255" i="2"/>
  <c r="L269" i="2"/>
  <c r="L281" i="2"/>
  <c r="L294" i="2"/>
  <c r="L305" i="2"/>
  <c r="L311" i="2"/>
  <c r="L317" i="2"/>
  <c r="L323" i="2"/>
  <c r="L329" i="2"/>
  <c r="L341" i="2"/>
  <c r="L347" i="2"/>
  <c r="L353" i="2"/>
  <c r="L358" i="2"/>
  <c r="L363" i="2"/>
  <c r="L369" i="2"/>
  <c r="L374" i="2"/>
  <c r="L379" i="2"/>
  <c r="L384" i="2"/>
  <c r="L399" i="2"/>
  <c r="L404" i="2"/>
  <c r="L413" i="2"/>
  <c r="L422" i="2"/>
  <c r="L431" i="2"/>
  <c r="L436" i="2"/>
  <c r="L445" i="2"/>
  <c r="L454" i="2"/>
  <c r="L463" i="2"/>
  <c r="L468" i="2"/>
  <c r="L477" i="2"/>
  <c r="L486" i="2"/>
  <c r="L495" i="2"/>
  <c r="L500" i="2"/>
  <c r="L509" i="2"/>
  <c r="L518" i="2"/>
  <c r="L13" i="2"/>
  <c r="L35" i="2"/>
  <c r="L45" i="2"/>
  <c r="L56" i="2"/>
  <c r="L72" i="2"/>
  <c r="L81" i="2"/>
  <c r="L89" i="2"/>
  <c r="L96" i="2"/>
  <c r="L103" i="2"/>
  <c r="L110" i="2"/>
  <c r="L117" i="2"/>
  <c r="L131" i="2"/>
  <c r="L152" i="2"/>
  <c r="L159" i="2"/>
  <c r="L166" i="2"/>
  <c r="L180" i="2"/>
  <c r="L194" i="2"/>
  <c r="L222" i="2"/>
  <c r="L228" i="2"/>
  <c r="L249" i="2"/>
  <c r="L256" i="2"/>
  <c r="L270" i="2"/>
  <c r="L276" i="2"/>
  <c r="L288" i="2"/>
  <c r="L300" i="2"/>
  <c r="L306" i="2"/>
  <c r="L312" i="2"/>
  <c r="L318" i="2"/>
  <c r="L324" i="2"/>
  <c r="L336" i="2"/>
  <c r="L342" i="2"/>
  <c r="L364" i="2"/>
  <c r="L385" i="2"/>
  <c r="L390" i="2"/>
  <c r="L395" i="2"/>
  <c r="L400" i="2"/>
  <c r="L409" i="2"/>
  <c r="L418" i="2"/>
  <c r="L427" i="2"/>
  <c r="L432" i="2"/>
  <c r="L441" i="2"/>
  <c r="L450" i="2"/>
  <c r="L459" i="2"/>
  <c r="L464" i="2"/>
  <c r="L473" i="2"/>
  <c r="L482" i="2"/>
  <c r="L491" i="2"/>
  <c r="L496" i="2"/>
  <c r="L505" i="2"/>
  <c r="L25" i="2"/>
  <c r="L46" i="2"/>
  <c r="L66" i="2"/>
  <c r="L73" i="2"/>
  <c r="L82" i="2"/>
  <c r="L90" i="2"/>
  <c r="L97" i="2"/>
  <c r="L111" i="2"/>
  <c r="L118" i="2"/>
  <c r="L139" i="2"/>
  <c r="L145" i="2"/>
  <c r="L173" i="2"/>
  <c r="L187" i="2"/>
  <c r="L201" i="2"/>
  <c r="L208" i="2"/>
  <c r="L215" i="2"/>
  <c r="L236" i="2"/>
  <c r="L250" i="2"/>
  <c r="L257" i="2"/>
  <c r="L264" i="2"/>
  <c r="L271" i="2"/>
  <c r="L277" i="2"/>
  <c r="L283" i="2"/>
  <c r="L289" i="2"/>
  <c r="L295" i="2"/>
  <c r="L319" i="2"/>
  <c r="L331" i="2"/>
  <c r="L354" i="2"/>
  <c r="L365" i="2"/>
  <c r="L20" i="2"/>
  <c r="L61" i="2"/>
  <c r="L77" i="2"/>
  <c r="L93" i="2"/>
  <c r="L100" i="2"/>
  <c r="L114" i="2"/>
  <c r="L121" i="2"/>
  <c r="L128" i="2"/>
  <c r="L135" i="2"/>
  <c r="L142" i="2"/>
  <c r="L149" i="2"/>
  <c r="L163" i="2"/>
  <c r="L184" i="2"/>
  <c r="L191" i="2"/>
  <c r="L198" i="2"/>
  <c r="L212" i="2"/>
  <c r="L226" i="2"/>
  <c r="L254" i="2"/>
  <c r="L260" i="2"/>
  <c r="L274" i="2"/>
  <c r="L280" i="2"/>
  <c r="L286" i="2"/>
  <c r="L304" i="2"/>
  <c r="L310" i="2"/>
  <c r="L322" i="2"/>
  <c r="L333" i="2"/>
  <c r="L340" i="2"/>
  <c r="L346" i="2"/>
  <c r="L357" i="2"/>
  <c r="L362" i="2"/>
  <c r="L367" i="2"/>
  <c r="L372" i="2"/>
  <c r="L378" i="2"/>
  <c r="L383" i="2"/>
  <c r="L388" i="2"/>
  <c r="L398" i="2"/>
  <c r="L407" i="2"/>
  <c r="L412" i="2"/>
  <c r="L421" i="2"/>
  <c r="L430" i="2"/>
  <c r="L439" i="2"/>
  <c r="L444" i="2"/>
  <c r="L453" i="2"/>
  <c r="L462" i="2"/>
  <c r="L16" i="2"/>
  <c r="L58" i="2"/>
  <c r="L91" i="2"/>
  <c r="L160" i="2"/>
  <c r="L175" i="2"/>
  <c r="L244" i="2"/>
  <c r="L272" i="2"/>
  <c r="L343" i="2"/>
  <c r="L355" i="2"/>
  <c r="L76" i="2"/>
  <c r="L105" i="2"/>
  <c r="L119" i="2"/>
  <c r="L134" i="2"/>
  <c r="L161" i="2"/>
  <c r="L189" i="2"/>
  <c r="L203" i="2"/>
  <c r="L217" i="2"/>
  <c r="L231" i="2"/>
  <c r="L259" i="2"/>
  <c r="L296" i="2"/>
  <c r="L320" i="2"/>
  <c r="L40" i="2"/>
  <c r="L107" i="2"/>
  <c r="L176" i="2"/>
  <c r="L204" i="2"/>
  <c r="L218" i="2"/>
  <c r="L232" i="2"/>
  <c r="L246" i="2"/>
  <c r="L273" i="2"/>
  <c r="L285" i="2"/>
  <c r="L309" i="2"/>
  <c r="L321" i="2"/>
  <c r="L345" i="2"/>
  <c r="L356" i="2"/>
  <c r="L392" i="2"/>
  <c r="L429" i="2"/>
  <c r="L437" i="2"/>
  <c r="L443" i="2"/>
  <c r="L451" i="2"/>
  <c r="L458" i="2"/>
  <c r="L472" i="2"/>
  <c r="L490" i="2"/>
  <c r="L497" i="2"/>
  <c r="L514" i="2"/>
  <c r="L519" i="2"/>
  <c r="L529" i="2"/>
  <c r="L538" i="2"/>
  <c r="L547" i="2"/>
  <c r="L552" i="2"/>
  <c r="L561" i="2"/>
  <c r="L570" i="2"/>
  <c r="L579" i="2"/>
  <c r="L584" i="2"/>
  <c r="L593" i="2"/>
  <c r="L602" i="2"/>
  <c r="L611" i="2"/>
  <c r="L616" i="2"/>
  <c r="L625" i="2"/>
  <c r="L634" i="2"/>
  <c r="L643" i="2"/>
  <c r="L648" i="2"/>
  <c r="L657" i="2"/>
  <c r="L666" i="2"/>
  <c r="L675" i="2"/>
  <c r="L680" i="2"/>
  <c r="L689" i="2"/>
  <c r="L30" i="2"/>
  <c r="L68" i="2"/>
  <c r="L113" i="2"/>
  <c r="L141" i="2"/>
  <c r="L155" i="2"/>
  <c r="L169" i="2"/>
  <c r="L183" i="2"/>
  <c r="L225" i="2"/>
  <c r="L239" i="2"/>
  <c r="L253" i="2"/>
  <c r="L267" i="2"/>
  <c r="L279" i="2"/>
  <c r="L291" i="2"/>
  <c r="L315" i="2"/>
  <c r="L327" i="2"/>
  <c r="L351" i="2"/>
  <c r="L371" i="2"/>
  <c r="L380" i="2"/>
  <c r="L403" i="2"/>
  <c r="L425" i="2"/>
  <c r="L433" i="2"/>
  <c r="L440" i="2"/>
  <c r="L447" i="2"/>
  <c r="L455" i="2"/>
  <c r="L475" i="2"/>
  <c r="L481" i="2"/>
  <c r="L488" i="2"/>
  <c r="L499" i="2"/>
  <c r="L506" i="2"/>
  <c r="L511" i="2"/>
  <c r="L531" i="2"/>
  <c r="L536" i="2"/>
  <c r="L545" i="2"/>
  <c r="L554" i="2"/>
  <c r="L563" i="2"/>
  <c r="L568" i="2"/>
  <c r="L577" i="2"/>
  <c r="L586" i="2"/>
  <c r="L595" i="2"/>
  <c r="L600" i="2"/>
  <c r="L609" i="2"/>
  <c r="L618" i="2"/>
  <c r="L627" i="2"/>
  <c r="L632" i="2"/>
  <c r="L641" i="2"/>
  <c r="L650" i="2"/>
  <c r="L659" i="2"/>
  <c r="L664" i="2"/>
  <c r="L673" i="2"/>
  <c r="L682" i="2"/>
  <c r="L691" i="2"/>
  <c r="L696" i="2"/>
  <c r="L705" i="2"/>
  <c r="L714" i="2"/>
  <c r="L723" i="2"/>
  <c r="L728" i="2"/>
  <c r="L737" i="2"/>
  <c r="L746" i="2"/>
  <c r="L755" i="2"/>
  <c r="L760" i="2"/>
  <c r="L769" i="2"/>
  <c r="L778" i="2"/>
  <c r="L782" i="2"/>
  <c r="L786" i="2"/>
  <c r="L790" i="2"/>
  <c r="L794" i="2"/>
  <c r="L798" i="2"/>
  <c r="L802" i="2"/>
  <c r="L806" i="2"/>
  <c r="L810" i="2"/>
  <c r="L814" i="2"/>
  <c r="L818" i="2"/>
  <c r="L822" i="2"/>
  <c r="L826" i="2"/>
  <c r="L830" i="2"/>
  <c r="L834" i="2"/>
  <c r="L838" i="2"/>
  <c r="L842" i="2"/>
  <c r="L846" i="2"/>
  <c r="L850" i="2"/>
  <c r="L854" i="2"/>
  <c r="L858" i="2"/>
  <c r="L862" i="2"/>
  <c r="L866" i="2"/>
  <c r="L870" i="2"/>
  <c r="L874" i="2"/>
  <c r="L878" i="2"/>
  <c r="L882" i="2"/>
  <c r="L886" i="2"/>
  <c r="L890" i="2"/>
  <c r="L894" i="2"/>
  <c r="L898" i="2"/>
  <c r="L902" i="2"/>
  <c r="L906" i="2"/>
  <c r="L910" i="2"/>
  <c r="L914" i="2"/>
  <c r="L918" i="2"/>
  <c r="L922" i="2"/>
  <c r="L926" i="2"/>
  <c r="L930" i="2"/>
  <c r="L934" i="2"/>
  <c r="L938" i="2"/>
  <c r="L942" i="2"/>
  <c r="L946" i="2"/>
  <c r="L950" i="2"/>
  <c r="L954" i="2"/>
  <c r="L958" i="2"/>
  <c r="L962" i="2"/>
  <c r="L966" i="2"/>
  <c r="L970" i="2"/>
  <c r="L974" i="2"/>
  <c r="L978" i="2"/>
  <c r="L982" i="2"/>
  <c r="L986" i="2"/>
  <c r="L990" i="2"/>
  <c r="L994" i="2"/>
  <c r="L998" i="2"/>
  <c r="L1002" i="2"/>
  <c r="L1006" i="2"/>
  <c r="L1010" i="2"/>
  <c r="L1014" i="2"/>
  <c r="L1018" i="2"/>
  <c r="L1022" i="2"/>
  <c r="L1026" i="2"/>
  <c r="L1030" i="2"/>
  <c r="L1034" i="2"/>
  <c r="L1038" i="2"/>
  <c r="L1042" i="2"/>
  <c r="L1046" i="2"/>
  <c r="L1050" i="2"/>
  <c r="L1054" i="2"/>
  <c r="L1058" i="2"/>
  <c r="L1062" i="2"/>
  <c r="L1066" i="2"/>
  <c r="L1070" i="2"/>
  <c r="L1074" i="2"/>
  <c r="L1078" i="2"/>
  <c r="L1082" i="2"/>
  <c r="L1086" i="2"/>
  <c r="L1090" i="2"/>
  <c r="L1094" i="2"/>
  <c r="L1098" i="2"/>
  <c r="L1102" i="2"/>
  <c r="L1106" i="2"/>
  <c r="L1110" i="2"/>
  <c r="L1114" i="2"/>
  <c r="L1118" i="2"/>
  <c r="L1122" i="2"/>
  <c r="L1126" i="2"/>
  <c r="L1130" i="2"/>
  <c r="L1134" i="2"/>
  <c r="L1138" i="2"/>
  <c r="L1142" i="2"/>
  <c r="L1146" i="2"/>
  <c r="L21" i="2"/>
  <c r="L62" i="2"/>
  <c r="L150" i="2"/>
  <c r="L178" i="2"/>
  <c r="L206" i="2"/>
  <c r="L233" i="2"/>
  <c r="L262" i="2"/>
  <c r="L332" i="2"/>
  <c r="L366" i="2"/>
  <c r="L377" i="2"/>
  <c r="L389" i="2"/>
  <c r="L419" i="2"/>
  <c r="L438" i="2"/>
  <c r="L448" i="2"/>
  <c r="L457" i="2"/>
  <c r="L467" i="2"/>
  <c r="L476" i="2"/>
  <c r="L484" i="2"/>
  <c r="L501" i="2"/>
  <c r="L508" i="2"/>
  <c r="L515" i="2"/>
  <c r="L522" i="2"/>
  <c r="L541" i="2"/>
  <c r="L553" i="2"/>
  <c r="L559" i="2"/>
  <c r="L565" i="2"/>
  <c r="L571" i="2"/>
  <c r="L583" i="2"/>
  <c r="L596" i="2"/>
  <c r="L608" i="2"/>
  <c r="L614" i="2"/>
  <c r="L620" i="2"/>
  <c r="L626" i="2"/>
  <c r="L638" i="2"/>
  <c r="L669" i="2"/>
  <c r="L681" i="2"/>
  <c r="L687" i="2"/>
  <c r="L693" i="2"/>
  <c r="L698" i="2"/>
  <c r="L703" i="2"/>
  <c r="L719" i="2"/>
  <c r="L740" i="2"/>
  <c r="L745" i="2"/>
  <c r="L750" i="2"/>
  <c r="L756" i="2"/>
  <c r="L761" i="2"/>
  <c r="L766" i="2"/>
  <c r="L771" i="2"/>
  <c r="L781" i="2"/>
  <c r="L795" i="2"/>
  <c r="L804" i="2"/>
  <c r="L813" i="2"/>
  <c r="L827" i="2"/>
  <c r="L836" i="2"/>
  <c r="L845" i="2"/>
  <c r="L859" i="2"/>
  <c r="L868" i="2"/>
  <c r="L877" i="2"/>
  <c r="L891" i="2"/>
  <c r="L900" i="2"/>
  <c r="L909" i="2"/>
  <c r="L923" i="2"/>
  <c r="L932" i="2"/>
  <c r="L941" i="2"/>
  <c r="L955" i="2"/>
  <c r="L964" i="2"/>
  <c r="L973" i="2"/>
  <c r="L987" i="2"/>
  <c r="L996" i="2"/>
  <c r="L1005" i="2"/>
  <c r="L1019" i="2"/>
  <c r="L1028" i="2"/>
  <c r="L1037" i="2"/>
  <c r="L1051" i="2"/>
  <c r="L1060" i="2"/>
  <c r="L1069" i="2"/>
  <c r="L1083" i="2"/>
  <c r="L1092" i="2"/>
  <c r="L1101" i="2"/>
  <c r="L1115" i="2"/>
  <c r="L29" i="2"/>
  <c r="L67" i="2"/>
  <c r="L182" i="2"/>
  <c r="L210" i="2"/>
  <c r="L238" i="2"/>
  <c r="L265" i="2"/>
  <c r="L337" i="2"/>
  <c r="L370" i="2"/>
  <c r="L381" i="2"/>
  <c r="L411" i="2"/>
  <c r="L470" i="2"/>
  <c r="L478" i="2"/>
  <c r="L494" i="2"/>
  <c r="L502" i="2"/>
  <c r="L510" i="2"/>
  <c r="L517" i="2"/>
  <c r="L524" i="2"/>
  <c r="L530" i="2"/>
  <c r="L542" i="2"/>
  <c r="L573" i="2"/>
  <c r="L585" i="2"/>
  <c r="L591" i="2"/>
  <c r="L597" i="2"/>
  <c r="L603" i="2"/>
  <c r="L615" i="2"/>
  <c r="L628" i="2"/>
  <c r="L640" i="2"/>
  <c r="L646" i="2"/>
  <c r="L652" i="2"/>
  <c r="L658" i="2"/>
  <c r="L670" i="2"/>
  <c r="L694" i="2"/>
  <c r="L699" i="2"/>
  <c r="L710" i="2"/>
  <c r="L715" i="2"/>
  <c r="L736" i="2"/>
  <c r="L741" i="2"/>
  <c r="L752" i="2"/>
  <c r="L757" i="2"/>
  <c r="L762" i="2"/>
  <c r="L767" i="2"/>
  <c r="L787" i="2"/>
  <c r="L796" i="2"/>
  <c r="L805" i="2"/>
  <c r="L819" i="2"/>
  <c r="L828" i="2"/>
  <c r="L837" i="2"/>
  <c r="L851" i="2"/>
  <c r="L860" i="2"/>
  <c r="L869" i="2"/>
  <c r="L883" i="2"/>
  <c r="L892" i="2"/>
  <c r="L901" i="2"/>
  <c r="L915" i="2"/>
  <c r="L924" i="2"/>
  <c r="L933" i="2"/>
  <c r="L947" i="2"/>
  <c r="L956" i="2"/>
  <c r="L965" i="2"/>
  <c r="L979" i="2"/>
  <c r="L988" i="2"/>
  <c r="L997" i="2"/>
  <c r="L1011" i="2"/>
  <c r="L1020" i="2"/>
  <c r="L1029" i="2"/>
  <c r="L1043" i="2"/>
  <c r="L1052" i="2"/>
  <c r="L1061" i="2"/>
  <c r="L79" i="2"/>
  <c r="L108" i="2"/>
  <c r="L136" i="2"/>
  <c r="L164" i="2"/>
  <c r="L248" i="2"/>
  <c r="L299" i="2"/>
  <c r="L360" i="2"/>
  <c r="L394" i="2"/>
  <c r="L405" i="2"/>
  <c r="L414" i="2"/>
  <c r="L424" i="2"/>
  <c r="L471" i="2"/>
  <c r="L480" i="2"/>
  <c r="L504" i="2"/>
  <c r="L512" i="2"/>
  <c r="L532" i="2"/>
  <c r="L544" i="2"/>
  <c r="L550" i="2"/>
  <c r="L556" i="2"/>
  <c r="L562" i="2"/>
  <c r="L574" i="2"/>
  <c r="L605" i="2"/>
  <c r="L617" i="2"/>
  <c r="L623" i="2"/>
  <c r="L629" i="2"/>
  <c r="L635" i="2"/>
  <c r="L647" i="2"/>
  <c r="L660" i="2"/>
  <c r="L672" i="2"/>
  <c r="L678" i="2"/>
  <c r="L684" i="2"/>
  <c r="L690" i="2"/>
  <c r="L695" i="2"/>
  <c r="L701" i="2"/>
  <c r="L706" i="2"/>
  <c r="L711" i="2"/>
  <c r="L732" i="2"/>
  <c r="L748" i="2"/>
  <c r="L753" i="2"/>
  <c r="L758" i="2"/>
  <c r="L763" i="2"/>
  <c r="L774" i="2"/>
  <c r="L779" i="2"/>
  <c r="L788" i="2"/>
  <c r="L797" i="2"/>
  <c r="L811" i="2"/>
  <c r="L820" i="2"/>
  <c r="L50" i="2"/>
  <c r="L84" i="2"/>
  <c r="L140" i="2"/>
  <c r="L168" i="2"/>
  <c r="L196" i="2"/>
  <c r="L302" i="2"/>
  <c r="L375" i="2"/>
  <c r="L386" i="2"/>
  <c r="L397" i="2"/>
  <c r="L406" i="2"/>
  <c r="L416" i="2"/>
  <c r="L426" i="2"/>
  <c r="L435" i="2"/>
  <c r="L446" i="2"/>
  <c r="L456" i="2"/>
  <c r="L465" i="2"/>
  <c r="L474" i="2"/>
  <c r="L498" i="2"/>
  <c r="L513" i="2"/>
  <c r="L527" i="2"/>
  <c r="L533" i="2"/>
  <c r="L539" i="2"/>
  <c r="L551" i="2"/>
  <c r="L564" i="2"/>
  <c r="L576" i="2"/>
  <c r="L582" i="2"/>
  <c r="L588" i="2"/>
  <c r="L594" i="2"/>
  <c r="L606" i="2"/>
  <c r="L637" i="2"/>
  <c r="L649" i="2"/>
  <c r="L655" i="2"/>
  <c r="L661" i="2"/>
  <c r="L667" i="2"/>
  <c r="L679" i="2"/>
  <c r="L692" i="2"/>
  <c r="L697" i="2"/>
  <c r="L702" i="2"/>
  <c r="L707" i="2"/>
  <c r="L744" i="2"/>
  <c r="L749" i="2"/>
  <c r="L754" i="2"/>
  <c r="L759" i="2"/>
  <c r="L765" i="2"/>
  <c r="L770" i="2"/>
  <c r="L775" i="2"/>
  <c r="L780" i="2"/>
  <c r="L789" i="2"/>
  <c r="L803" i="2"/>
  <c r="L812" i="2"/>
  <c r="L821" i="2"/>
  <c r="L835" i="2"/>
  <c r="L844" i="2"/>
  <c r="L853" i="2"/>
  <c r="L867" i="2"/>
  <c r="L876" i="2"/>
  <c r="L885" i="2"/>
  <c r="L899" i="2"/>
  <c r="L908" i="2"/>
  <c r="L917" i="2"/>
  <c r="L931" i="2"/>
  <c r="L940" i="2"/>
  <c r="L949" i="2"/>
  <c r="L963" i="2"/>
  <c r="L972" i="2"/>
  <c r="L981" i="2"/>
  <c r="L995" i="2"/>
  <c r="L1004" i="2"/>
  <c r="L1013" i="2"/>
  <c r="L1027" i="2"/>
  <c r="L1036" i="2"/>
  <c r="L1045" i="2"/>
  <c r="L1059" i="2"/>
  <c r="L1068" i="2"/>
  <c r="L1077" i="2"/>
  <c r="L1091" i="2"/>
  <c r="L1100" i="2"/>
  <c r="L98" i="2"/>
  <c r="L102" i="2"/>
  <c r="L157" i="2"/>
  <c r="L402" i="2"/>
  <c r="L423" i="2"/>
  <c r="L442" i="2"/>
  <c r="L461" i="2"/>
  <c r="L479" i="2"/>
  <c r="L525" i="2"/>
  <c r="L537" i="2"/>
  <c r="L549" i="2"/>
  <c r="L598" i="2"/>
  <c r="L610" i="2"/>
  <c r="L622" i="2"/>
  <c r="L671" i="2"/>
  <c r="L683" i="2"/>
  <c r="L716" i="2"/>
  <c r="L726" i="2"/>
  <c r="L747" i="2"/>
  <c r="L768" i="2"/>
  <c r="L815" i="2"/>
  <c r="L824" i="2"/>
  <c r="L832" i="2"/>
  <c r="L839" i="2"/>
  <c r="L847" i="2"/>
  <c r="L861" i="2"/>
  <c r="L905" i="2"/>
  <c r="L912" i="2"/>
  <c r="L920" i="2"/>
  <c r="L927" i="2"/>
  <c r="L971" i="2"/>
  <c r="L985" i="2"/>
  <c r="L993" i="2"/>
  <c r="L1000" i="2"/>
  <c r="L1015" i="2"/>
  <c r="L1044" i="2"/>
  <c r="L1084" i="2"/>
  <c r="L1096" i="2"/>
  <c r="L126" i="2"/>
  <c r="L181" i="2"/>
  <c r="L237" i="2"/>
  <c r="L290" i="2"/>
  <c r="L335" i="2"/>
  <c r="L410" i="2"/>
  <c r="L449" i="2"/>
  <c r="L469" i="2"/>
  <c r="L485" i="2"/>
  <c r="L516" i="2"/>
  <c r="L566" i="2"/>
  <c r="L578" i="2"/>
  <c r="L590" i="2"/>
  <c r="L639" i="2"/>
  <c r="L651" i="2"/>
  <c r="L663" i="2"/>
  <c r="L676" i="2"/>
  <c r="L688" i="2"/>
  <c r="L709" i="2"/>
  <c r="L720" i="2"/>
  <c r="L730" i="2"/>
  <c r="L751" i="2"/>
  <c r="L772" i="2"/>
  <c r="L791" i="2"/>
  <c r="L800" i="2"/>
  <c r="L809" i="2"/>
  <c r="L849" i="2"/>
  <c r="L864" i="2"/>
  <c r="L871" i="2"/>
  <c r="L879" i="2"/>
  <c r="L893" i="2"/>
  <c r="L937" i="2"/>
  <c r="L944" i="2"/>
  <c r="L952" i="2"/>
  <c r="L959" i="2"/>
  <c r="L1003" i="2"/>
  <c r="L1017" i="2"/>
  <c r="L1025" i="2"/>
  <c r="L1032" i="2"/>
  <c r="L1047" i="2"/>
  <c r="L1080" i="2"/>
  <c r="L1104" i="2"/>
  <c r="L1109" i="2"/>
  <c r="L1120" i="2"/>
  <c r="L251" i="2"/>
  <c r="L301" i="2"/>
  <c r="L344" i="2"/>
  <c r="L396" i="2"/>
  <c r="L415" i="2"/>
  <c r="L434" i="2"/>
  <c r="L489" i="2"/>
  <c r="L520" i="2"/>
  <c r="L557" i="2"/>
  <c r="L569" i="2"/>
  <c r="L581" i="2"/>
  <c r="L630" i="2"/>
  <c r="L642" i="2"/>
  <c r="L654" i="2"/>
  <c r="L712" i="2"/>
  <c r="L722" i="2"/>
  <c r="L733" i="2"/>
  <c r="L743" i="2"/>
  <c r="L764" i="2"/>
  <c r="L784" i="2"/>
  <c r="L793" i="2"/>
  <c r="L829" i="2"/>
  <c r="L873" i="2"/>
  <c r="L880" i="2"/>
  <c r="L888" i="2"/>
  <c r="L895" i="2"/>
  <c r="L939" i="2"/>
  <c r="L953" i="2"/>
  <c r="L961" i="2"/>
  <c r="L968" i="2"/>
  <c r="L983" i="2"/>
  <c r="L1012" i="2"/>
  <c r="L1041" i="2"/>
  <c r="L1056" i="2"/>
  <c r="L1063" i="2"/>
  <c r="L1081" i="2"/>
  <c r="L1088" i="2"/>
  <c r="L1105" i="2"/>
  <c r="L1111" i="2"/>
  <c r="L1116" i="2"/>
  <c r="L1121" i="2"/>
  <c r="L1135" i="2"/>
  <c r="L1144" i="2"/>
  <c r="L154" i="2"/>
  <c r="L326" i="2"/>
  <c r="L376" i="2"/>
  <c r="L408" i="2"/>
  <c r="L521" i="2"/>
  <c r="L540" i="2"/>
  <c r="L560" i="2"/>
  <c r="L580" i="2"/>
  <c r="L599" i="2"/>
  <c r="L619" i="2"/>
  <c r="L677" i="2"/>
  <c r="L713" i="2"/>
  <c r="L729" i="2"/>
  <c r="L808" i="2"/>
  <c r="L823" i="2"/>
  <c r="L929" i="2"/>
  <c r="L976" i="2"/>
  <c r="L999" i="2"/>
  <c r="L1023" i="2"/>
  <c r="L1035" i="2"/>
  <c r="L1079" i="2"/>
  <c r="L1107" i="2"/>
  <c r="L1123" i="2"/>
  <c r="L1128" i="2"/>
  <c r="L1133" i="2"/>
  <c r="L1149" i="2"/>
  <c r="L1158" i="2"/>
  <c r="L1167" i="2"/>
  <c r="L328" i="2"/>
  <c r="L523" i="2"/>
  <c r="L543" i="2"/>
  <c r="L601" i="2"/>
  <c r="L621" i="2"/>
  <c r="L731" i="2"/>
  <c r="L825" i="2"/>
  <c r="L848" i="2"/>
  <c r="L872" i="2"/>
  <c r="L884" i="2"/>
  <c r="L896" i="2"/>
  <c r="L907" i="2"/>
  <c r="L919" i="2"/>
  <c r="L943" i="2"/>
  <c r="L977" i="2"/>
  <c r="L989" i="2"/>
  <c r="L1001" i="2"/>
  <c r="L1024" i="2"/>
  <c r="L1048" i="2"/>
  <c r="L1089" i="2"/>
  <c r="L1099" i="2"/>
  <c r="L1108" i="2"/>
  <c r="L1139" i="2"/>
  <c r="L1154" i="2"/>
  <c r="L1163" i="2"/>
  <c r="L1172" i="2"/>
  <c r="L1176" i="2"/>
  <c r="L1180" i="2"/>
  <c r="L1184" i="2"/>
  <c r="L1188" i="2"/>
  <c r="L1192" i="2"/>
  <c r="L1196" i="2"/>
  <c r="L1200" i="2"/>
  <c r="L1204" i="2"/>
  <c r="L1208" i="2"/>
  <c r="L1212" i="2"/>
  <c r="L1216" i="2"/>
  <c r="L1220" i="2"/>
  <c r="L1224" i="2"/>
  <c r="L1228" i="2"/>
  <c r="L1232" i="2"/>
  <c r="L1236" i="2"/>
  <c r="L1240" i="2"/>
  <c r="L1244" i="2"/>
  <c r="L112" i="2"/>
  <c r="L199" i="2"/>
  <c r="L352" i="2"/>
  <c r="L393" i="2"/>
  <c r="L483" i="2"/>
  <c r="L589" i="2"/>
  <c r="L668" i="2"/>
  <c r="L686" i="2"/>
  <c r="L704" i="2"/>
  <c r="L721" i="2"/>
  <c r="L738" i="2"/>
  <c r="L801" i="2"/>
  <c r="L816" i="2"/>
  <c r="L841" i="2"/>
  <c r="L865" i="2"/>
  <c r="L935" i="2"/>
  <c r="L1040" i="2"/>
  <c r="L1064" i="2"/>
  <c r="L1073" i="2"/>
  <c r="L1093" i="2"/>
  <c r="L1103" i="2"/>
  <c r="L1119" i="2"/>
  <c r="L1125" i="2"/>
  <c r="L1131" i="2"/>
  <c r="L1136" i="2"/>
  <c r="L1141" i="2"/>
  <c r="L1151" i="2"/>
  <c r="L1160" i="2"/>
  <c r="L1165" i="2"/>
  <c r="L209" i="2"/>
  <c r="L361" i="2"/>
  <c r="L428" i="2"/>
  <c r="L460" i="2"/>
  <c r="L487" i="2"/>
  <c r="L534" i="2"/>
  <c r="L572" i="2"/>
  <c r="L592" i="2"/>
  <c r="L612" i="2"/>
  <c r="L631" i="2"/>
  <c r="L724" i="2"/>
  <c r="L739" i="2"/>
  <c r="L773" i="2"/>
  <c r="L817" i="2"/>
  <c r="L831" i="2"/>
  <c r="L843" i="2"/>
  <c r="L855" i="2"/>
  <c r="L889" i="2"/>
  <c r="L913" i="2"/>
  <c r="L925" i="2"/>
  <c r="L936" i="2"/>
  <c r="L948" i="2"/>
  <c r="L960" i="2"/>
  <c r="L984" i="2"/>
  <c r="L1007" i="2"/>
  <c r="L1053" i="2"/>
  <c r="L1065" i="2"/>
  <c r="L1075" i="2"/>
  <c r="L1112" i="2"/>
  <c r="L1147" i="2"/>
  <c r="L1156" i="2"/>
  <c r="L1161" i="2"/>
  <c r="L1170" i="2"/>
  <c r="L1174" i="2"/>
  <c r="L1178" i="2"/>
  <c r="L1182" i="2"/>
  <c r="L1186" i="2"/>
  <c r="L1190" i="2"/>
  <c r="L1194" i="2"/>
  <c r="L1198" i="2"/>
  <c r="L1202" i="2"/>
  <c r="L1206" i="2"/>
  <c r="L1210" i="2"/>
  <c r="L1214" i="2"/>
  <c r="L1218" i="2"/>
  <c r="L1222" i="2"/>
  <c r="L1226" i="2"/>
  <c r="L1230" i="2"/>
  <c r="L1234" i="2"/>
  <c r="L1238" i="2"/>
  <c r="L1242" i="2"/>
  <c r="L1246" i="2"/>
  <c r="L1250" i="2"/>
  <c r="L1254" i="2"/>
  <c r="L1258" i="2"/>
  <c r="L1262" i="2"/>
  <c r="L1266" i="2"/>
  <c r="L1270" i="2"/>
  <c r="L1274" i="2"/>
  <c r="L1278" i="2"/>
  <c r="L1282" i="2"/>
  <c r="L1286" i="2"/>
  <c r="L1290" i="2"/>
  <c r="L1294" i="2"/>
  <c r="L1298" i="2"/>
  <c r="L1302" i="2"/>
  <c r="L1306" i="2"/>
  <c r="L1310" i="2"/>
  <c r="L1314" i="2"/>
  <c r="L1318" i="2"/>
  <c r="L1322" i="2"/>
  <c r="L1326" i="2"/>
  <c r="L1330" i="2"/>
  <c r="L1334" i="2"/>
  <c r="L1338" i="2"/>
  <c r="L1342" i="2"/>
  <c r="L1346" i="2"/>
  <c r="L1350" i="2"/>
  <c r="L1354" i="2"/>
  <c r="L1358" i="2"/>
  <c r="L1362" i="2"/>
  <c r="L1366" i="2"/>
  <c r="L1370" i="2"/>
  <c r="L1374" i="2"/>
  <c r="L1378" i="2"/>
  <c r="L1382" i="2"/>
  <c r="L1386" i="2"/>
  <c r="L1390" i="2"/>
  <c r="L1394" i="2"/>
  <c r="L1398" i="2"/>
  <c r="L1402" i="2"/>
  <c r="L1406" i="2"/>
  <c r="L1410" i="2"/>
  <c r="L1414" i="2"/>
  <c r="L1418" i="2"/>
  <c r="L1422" i="2"/>
  <c r="L1426" i="2"/>
  <c r="L1430" i="2"/>
  <c r="L1434" i="2"/>
  <c r="L1438" i="2"/>
  <c r="L1442" i="2"/>
  <c r="L1446" i="2"/>
  <c r="L1450" i="2"/>
  <c r="L1454" i="2"/>
  <c r="L1458" i="2"/>
  <c r="L1462" i="2"/>
  <c r="L1466" i="2"/>
  <c r="L1470" i="2"/>
  <c r="L1474" i="2"/>
  <c r="L1478" i="2"/>
  <c r="L1482" i="2"/>
  <c r="L1486" i="2"/>
  <c r="L1490" i="2"/>
  <c r="L1494" i="2"/>
  <c r="L1498" i="2"/>
  <c r="L1502" i="2"/>
  <c r="L1506" i="2"/>
  <c r="L1510" i="2"/>
  <c r="L1514" i="2"/>
  <c r="L1518" i="2"/>
  <c r="L71" i="2"/>
  <c r="L503" i="2"/>
  <c r="L546" i="2"/>
  <c r="L624" i="2"/>
  <c r="L662" i="2"/>
  <c r="L700" i="2"/>
  <c r="L734" i="2"/>
  <c r="L897" i="2"/>
  <c r="L967" i="2"/>
  <c r="L991" i="2"/>
  <c r="L1117" i="2"/>
  <c r="L1129" i="2"/>
  <c r="L1140" i="2"/>
  <c r="L1150" i="2"/>
  <c r="L1159" i="2"/>
  <c r="L1168" i="2"/>
  <c r="L1248" i="2"/>
  <c r="L1522" i="2"/>
  <c r="L1531" i="2"/>
  <c r="L1540" i="2"/>
  <c r="L1549" i="2"/>
  <c r="L1554" i="2"/>
  <c r="L1563" i="2"/>
  <c r="L1572" i="2"/>
  <c r="L1581" i="2"/>
  <c r="L1586" i="2"/>
  <c r="L1595" i="2"/>
  <c r="L87" i="2"/>
  <c r="L278" i="2"/>
  <c r="L387" i="2"/>
  <c r="L452" i="2"/>
  <c r="L507" i="2"/>
  <c r="L548" i="2"/>
  <c r="L587" i="2"/>
  <c r="L665" i="2"/>
  <c r="L735" i="2"/>
  <c r="L799" i="2"/>
  <c r="L852" i="2"/>
  <c r="L875" i="2"/>
  <c r="L921" i="2"/>
  <c r="L945" i="2"/>
  <c r="L969" i="2"/>
  <c r="L992" i="2"/>
  <c r="L1016" i="2"/>
  <c r="L1039" i="2"/>
  <c r="L1169" i="2"/>
  <c r="L1177" i="2"/>
  <c r="L1185" i="2"/>
  <c r="L1193" i="2"/>
  <c r="L1201" i="2"/>
  <c r="L1209" i="2"/>
  <c r="L1217" i="2"/>
  <c r="L1225" i="2"/>
  <c r="L1233" i="2"/>
  <c r="L171" i="2"/>
  <c r="L338" i="2"/>
  <c r="L417" i="2"/>
  <c r="L526" i="2"/>
  <c r="L604" i="2"/>
  <c r="L644" i="2"/>
  <c r="L717" i="2"/>
  <c r="L783" i="2"/>
  <c r="L1049" i="2"/>
  <c r="L1071" i="2"/>
  <c r="L1124" i="2"/>
  <c r="L1145" i="2"/>
  <c r="L1251" i="2"/>
  <c r="L1257" i="2"/>
  <c r="L1524" i="2"/>
  <c r="L1533" i="2"/>
  <c r="L1538" i="2"/>
  <c r="L1547" i="2"/>
  <c r="L1556" i="2"/>
  <c r="L1565" i="2"/>
  <c r="L1570" i="2"/>
  <c r="L1579" i="2"/>
  <c r="L1588" i="2"/>
  <c r="L1597" i="2"/>
  <c r="L223" i="2"/>
  <c r="L492" i="2"/>
  <c r="L535" i="2"/>
  <c r="L575" i="2"/>
  <c r="L613" i="2"/>
  <c r="L653" i="2"/>
  <c r="L725" i="2"/>
  <c r="L1008" i="2"/>
  <c r="L1031" i="2"/>
  <c r="L1055" i="2"/>
  <c r="L1076" i="2"/>
  <c r="L1095" i="2"/>
  <c r="L1113" i="2"/>
  <c r="L1127" i="2"/>
  <c r="L1137" i="2"/>
  <c r="L1157" i="2"/>
  <c r="L1166" i="2"/>
  <c r="L1259" i="2"/>
  <c r="L1525" i="2"/>
  <c r="L1530" i="2"/>
  <c r="L1539" i="2"/>
  <c r="L1548" i="2"/>
  <c r="L1557" i="2"/>
  <c r="L1562" i="2"/>
  <c r="L1571" i="2"/>
  <c r="L1580" i="2"/>
  <c r="L1589" i="2"/>
  <c r="L1594" i="2"/>
  <c r="L129" i="2"/>
  <c r="L401" i="2"/>
  <c r="L742" i="2"/>
  <c r="L856" i="2"/>
  <c r="L903" i="2"/>
  <c r="L1085" i="2"/>
  <c r="L1241" i="2"/>
  <c r="L1252" i="2"/>
  <c r="L1271" i="2"/>
  <c r="L1279" i="2"/>
  <c r="L1288" i="2"/>
  <c r="L1296" i="2"/>
  <c r="L1313" i="2"/>
  <c r="L1321" i="2"/>
  <c r="L1331" i="2"/>
  <c r="L1339" i="2"/>
  <c r="L1356" i="2"/>
  <c r="L1364" i="2"/>
  <c r="L1373" i="2"/>
  <c r="L1381" i="2"/>
  <c r="L1399" i="2"/>
  <c r="L1407" i="2"/>
  <c r="L1416" i="2"/>
  <c r="L1424" i="2"/>
  <c r="L1441" i="2"/>
  <c r="L1449" i="2"/>
  <c r="L1459" i="2"/>
  <c r="L1467" i="2"/>
  <c r="L1484" i="2"/>
  <c r="L1492" i="2"/>
  <c r="L1501" i="2"/>
  <c r="L1509" i="2"/>
  <c r="L1526" i="2"/>
  <c r="L1555" i="2"/>
  <c r="L1569" i="2"/>
  <c r="L1577" i="2"/>
  <c r="L1584" i="2"/>
  <c r="L1599" i="2"/>
  <c r="L1605" i="2"/>
  <c r="L1612" i="2"/>
  <c r="L1618" i="2"/>
  <c r="L1631" i="2"/>
  <c r="L1637" i="2"/>
  <c r="L1644" i="2"/>
  <c r="L1650" i="2"/>
  <c r="L1663" i="2"/>
  <c r="L1669" i="2"/>
  <c r="L1676" i="2"/>
  <c r="L1682" i="2"/>
  <c r="L1695" i="2"/>
  <c r="L1701" i="2"/>
  <c r="L1708" i="2"/>
  <c r="L1714" i="2"/>
  <c r="L1727" i="2"/>
  <c r="L1733" i="2"/>
  <c r="L1740" i="2"/>
  <c r="L1746" i="2"/>
  <c r="L1759" i="2"/>
  <c r="L1765" i="2"/>
  <c r="L1772" i="2"/>
  <c r="L1778" i="2"/>
  <c r="L1791" i="2"/>
  <c r="L1797" i="2"/>
  <c r="L1804" i="2"/>
  <c r="L1810" i="2"/>
  <c r="L1823" i="2"/>
  <c r="L1829" i="2"/>
  <c r="L1836" i="2"/>
  <c r="L1842" i="2"/>
  <c r="L1858" i="2"/>
  <c r="L1874" i="2"/>
  <c r="L1879" i="2"/>
  <c r="L1888" i="2"/>
  <c r="L1897" i="2"/>
  <c r="L1902" i="2"/>
  <c r="L674" i="2"/>
  <c r="L807" i="2"/>
  <c r="L857" i="2"/>
  <c r="L904" i="2"/>
  <c r="L951" i="2"/>
  <c r="L1087" i="2"/>
  <c r="L1143" i="2"/>
  <c r="L1162" i="2"/>
  <c r="L1179" i="2"/>
  <c r="L1195" i="2"/>
  <c r="L1211" i="2"/>
  <c r="L1227" i="2"/>
  <c r="L1253" i="2"/>
  <c r="L1263" i="2"/>
  <c r="L1272" i="2"/>
  <c r="L1280" i="2"/>
  <c r="L1297" i="2"/>
  <c r="L1305" i="2"/>
  <c r="L1315" i="2"/>
  <c r="L1323" i="2"/>
  <c r="L1340" i="2"/>
  <c r="L1348" i="2"/>
  <c r="L1357" i="2"/>
  <c r="L1365" i="2"/>
  <c r="L1383" i="2"/>
  <c r="L1391" i="2"/>
  <c r="L1400" i="2"/>
  <c r="L1408" i="2"/>
  <c r="L1425" i="2"/>
  <c r="L1433" i="2"/>
  <c r="L1443" i="2"/>
  <c r="L1451" i="2"/>
  <c r="L1468" i="2"/>
  <c r="L1476" i="2"/>
  <c r="L1485" i="2"/>
  <c r="L1493" i="2"/>
  <c r="L1511" i="2"/>
  <c r="L1519" i="2"/>
  <c r="L1527" i="2"/>
  <c r="L1534" i="2"/>
  <c r="L1541" i="2"/>
  <c r="L1578" i="2"/>
  <c r="L1585" i="2"/>
  <c r="L1592" i="2"/>
  <c r="L1600" i="2"/>
  <c r="L1606" i="2"/>
  <c r="L1619" i="2"/>
  <c r="L1625" i="2"/>
  <c r="L1632" i="2"/>
  <c r="L1638" i="2"/>
  <c r="L1651" i="2"/>
  <c r="L1657" i="2"/>
  <c r="L1664" i="2"/>
  <c r="L1670" i="2"/>
  <c r="L1683" i="2"/>
  <c r="L1689" i="2"/>
  <c r="L1696" i="2"/>
  <c r="L1702" i="2"/>
  <c r="L1715" i="2"/>
  <c r="L1721" i="2"/>
  <c r="L1728" i="2"/>
  <c r="L1734" i="2"/>
  <c r="L1747" i="2"/>
  <c r="L1753" i="2"/>
  <c r="L1760" i="2"/>
  <c r="L1766" i="2"/>
  <c r="L1779" i="2"/>
  <c r="L1785" i="2"/>
  <c r="L1792" i="2"/>
  <c r="L1798" i="2"/>
  <c r="L1811" i="2"/>
  <c r="L1817" i="2"/>
  <c r="L1824" i="2"/>
  <c r="L1830" i="2"/>
  <c r="L1843" i="2"/>
  <c r="L1848" i="2"/>
  <c r="L1853" i="2"/>
  <c r="L1859" i="2"/>
  <c r="L1864" i="2"/>
  <c r="L1869" i="2"/>
  <c r="L1875" i="2"/>
  <c r="L1884" i="2"/>
  <c r="L1893" i="2"/>
  <c r="L1898" i="2"/>
  <c r="L1907" i="2"/>
  <c r="L1911" i="2"/>
  <c r="L1915" i="2"/>
  <c r="L1919" i="2"/>
  <c r="L1923" i="2"/>
  <c r="L1927" i="2"/>
  <c r="L1931" i="2"/>
  <c r="L1935" i="2"/>
  <c r="L1939" i="2"/>
  <c r="L1943" i="2"/>
  <c r="L1947" i="2"/>
  <c r="L1951" i="2"/>
  <c r="L555" i="2"/>
  <c r="L633" i="2"/>
  <c r="L708" i="2"/>
  <c r="L776" i="2"/>
  <c r="L833" i="2"/>
  <c r="L1132" i="2"/>
  <c r="L1152" i="2"/>
  <c r="L1247" i="2"/>
  <c r="L1267" i="2"/>
  <c r="L1275" i="2"/>
  <c r="L1292" i="2"/>
  <c r="L1300" i="2"/>
  <c r="L1309" i="2"/>
  <c r="L1317" i="2"/>
  <c r="L1335" i="2"/>
  <c r="L1343" i="2"/>
  <c r="L1352" i="2"/>
  <c r="L1360" i="2"/>
  <c r="L1377" i="2"/>
  <c r="L1385" i="2"/>
  <c r="L1395" i="2"/>
  <c r="L1403" i="2"/>
  <c r="L1420" i="2"/>
  <c r="L1428" i="2"/>
  <c r="L1437" i="2"/>
  <c r="L1445" i="2"/>
  <c r="L1463" i="2"/>
  <c r="L1471" i="2"/>
  <c r="L1480" i="2"/>
  <c r="L1488" i="2"/>
  <c r="L1505" i="2"/>
  <c r="L1513" i="2"/>
  <c r="L1529" i="2"/>
  <c r="L1544" i="2"/>
  <c r="L1551" i="2"/>
  <c r="L1559" i="2"/>
  <c r="L1566" i="2"/>
  <c r="L1573" i="2"/>
  <c r="L1602" i="2"/>
  <c r="L1615" i="2"/>
  <c r="L1621" i="2"/>
  <c r="L1628" i="2"/>
  <c r="L1634" i="2"/>
  <c r="L1647" i="2"/>
  <c r="L1653" i="2"/>
  <c r="L1660" i="2"/>
  <c r="L1666" i="2"/>
  <c r="L1679" i="2"/>
  <c r="L1685" i="2"/>
  <c r="L1692" i="2"/>
  <c r="L1698" i="2"/>
  <c r="L1711" i="2"/>
  <c r="L1717" i="2"/>
  <c r="L1724" i="2"/>
  <c r="L1730" i="2"/>
  <c r="L1743" i="2"/>
  <c r="L1749" i="2"/>
  <c r="L1756" i="2"/>
  <c r="L1762" i="2"/>
  <c r="L1775" i="2"/>
  <c r="L1781" i="2"/>
  <c r="L1788" i="2"/>
  <c r="L1794" i="2"/>
  <c r="L1807" i="2"/>
  <c r="L1813" i="2"/>
  <c r="L1820" i="2"/>
  <c r="L1826" i="2"/>
  <c r="L1839" i="2"/>
  <c r="L1850" i="2"/>
  <c r="L1866" i="2"/>
  <c r="L1881" i="2"/>
  <c r="L1886" i="2"/>
  <c r="L1895" i="2"/>
  <c r="L1904" i="2"/>
  <c r="L1941" i="2"/>
  <c r="L1953" i="2"/>
  <c r="L1961" i="2"/>
  <c r="L1969" i="2"/>
  <c r="L1977" i="2"/>
  <c r="L1985" i="2"/>
  <c r="L1989" i="2"/>
  <c r="L1997" i="2"/>
  <c r="L567" i="2"/>
  <c r="L718" i="2"/>
  <c r="L840" i="2"/>
  <c r="L1155" i="2"/>
  <c r="L1189" i="2"/>
  <c r="L1221" i="2"/>
  <c r="L1249" i="2"/>
  <c r="L1268" i="2"/>
  <c r="L1285" i="2"/>
  <c r="L1303" i="2"/>
  <c r="L1320" i="2"/>
  <c r="L1345" i="2"/>
  <c r="L1363" i="2"/>
  <c r="L1396" i="2"/>
  <c r="L1413" i="2"/>
  <c r="L1431" i="2"/>
  <c r="L1448" i="2"/>
  <c r="L1481" i="2"/>
  <c r="L1499" i="2"/>
  <c r="L1516" i="2"/>
  <c r="L1546" i="2"/>
  <c r="L1560" i="2"/>
  <c r="L1575" i="2"/>
  <c r="L1590" i="2"/>
  <c r="L1610" i="2"/>
  <c r="L1623" i="2"/>
  <c r="L1636" i="2"/>
  <c r="L1655" i="2"/>
  <c r="L1668" i="2"/>
  <c r="L1693" i="2"/>
  <c r="L1706" i="2"/>
  <c r="L1719" i="2"/>
  <c r="L1732" i="2"/>
  <c r="L314" i="2"/>
  <c r="L466" i="2"/>
  <c r="L558" i="2"/>
  <c r="L636" i="2"/>
  <c r="L777" i="2"/>
  <c r="L881" i="2"/>
  <c r="L928" i="2"/>
  <c r="L975" i="2"/>
  <c r="L1021" i="2"/>
  <c r="L1067" i="2"/>
  <c r="L1153" i="2"/>
  <c r="L1171" i="2"/>
  <c r="L1187" i="2"/>
  <c r="L1203" i="2"/>
  <c r="L1219" i="2"/>
  <c r="L1235" i="2"/>
  <c r="L1276" i="2"/>
  <c r="L1284" i="2"/>
  <c r="L1293" i="2"/>
  <c r="L1301" i="2"/>
  <c r="L1319" i="2"/>
  <c r="L1327" i="2"/>
  <c r="L1336" i="2"/>
  <c r="L1344" i="2"/>
  <c r="L1361" i="2"/>
  <c r="L1369" i="2"/>
  <c r="L1379" i="2"/>
  <c r="L1387" i="2"/>
  <c r="L1404" i="2"/>
  <c r="L1412" i="2"/>
  <c r="L1421" i="2"/>
  <c r="L1429" i="2"/>
  <c r="L1447" i="2"/>
  <c r="L1455" i="2"/>
  <c r="L1464" i="2"/>
  <c r="L1472" i="2"/>
  <c r="L1489" i="2"/>
  <c r="L1497" i="2"/>
  <c r="L1507" i="2"/>
  <c r="L1515" i="2"/>
  <c r="L1523" i="2"/>
  <c r="L1537" i="2"/>
  <c r="L1545" i="2"/>
  <c r="L1552" i="2"/>
  <c r="L1567" i="2"/>
  <c r="L1574" i="2"/>
  <c r="L1582" i="2"/>
  <c r="L1596" i="2"/>
  <c r="L1603" i="2"/>
  <c r="L1609" i="2"/>
  <c r="L1616" i="2"/>
  <c r="L1622" i="2"/>
  <c r="L1635" i="2"/>
  <c r="L1641" i="2"/>
  <c r="L1648" i="2"/>
  <c r="L1654" i="2"/>
  <c r="L1667" i="2"/>
  <c r="L1673" i="2"/>
  <c r="L1680" i="2"/>
  <c r="L1686" i="2"/>
  <c r="L1699" i="2"/>
  <c r="L1705" i="2"/>
  <c r="L1712" i="2"/>
  <c r="L1718" i="2"/>
  <c r="L1731" i="2"/>
  <c r="L1737" i="2"/>
  <c r="L1744" i="2"/>
  <c r="L1750" i="2"/>
  <c r="L1763" i="2"/>
  <c r="L1769" i="2"/>
  <c r="L1776" i="2"/>
  <c r="L1782" i="2"/>
  <c r="L1795" i="2"/>
  <c r="L1801" i="2"/>
  <c r="L1808" i="2"/>
  <c r="L1814" i="2"/>
  <c r="L1827" i="2"/>
  <c r="L1833" i="2"/>
  <c r="L1840" i="2"/>
  <c r="L1845" i="2"/>
  <c r="L1851" i="2"/>
  <c r="L1856" i="2"/>
  <c r="L1861" i="2"/>
  <c r="L1867" i="2"/>
  <c r="L1872" i="2"/>
  <c r="L1877" i="2"/>
  <c r="L1882" i="2"/>
  <c r="L1891" i="2"/>
  <c r="L1900" i="2"/>
  <c r="L1909" i="2"/>
  <c r="L1913" i="2"/>
  <c r="L1917" i="2"/>
  <c r="L1921" i="2"/>
  <c r="L1925" i="2"/>
  <c r="L1929" i="2"/>
  <c r="L1933" i="2"/>
  <c r="L1937" i="2"/>
  <c r="L1945" i="2"/>
  <c r="L1949" i="2"/>
  <c r="L1957" i="2"/>
  <c r="L1965" i="2"/>
  <c r="L1973" i="2"/>
  <c r="L1981" i="2"/>
  <c r="L1993" i="2"/>
  <c r="L349" i="2"/>
  <c r="L645" i="2"/>
  <c r="L785" i="2"/>
  <c r="L887" i="2"/>
  <c r="L980" i="2"/>
  <c r="L1072" i="2"/>
  <c r="L1173" i="2"/>
  <c r="L1205" i="2"/>
  <c r="L1237" i="2"/>
  <c r="L1260" i="2"/>
  <c r="L1277" i="2"/>
  <c r="L1311" i="2"/>
  <c r="L1328" i="2"/>
  <c r="L1353" i="2"/>
  <c r="L1371" i="2"/>
  <c r="L1388" i="2"/>
  <c r="L1405" i="2"/>
  <c r="L1439" i="2"/>
  <c r="L1456" i="2"/>
  <c r="L1473" i="2"/>
  <c r="L1491" i="2"/>
  <c r="L1553" i="2"/>
  <c r="L1568" i="2"/>
  <c r="L1604" i="2"/>
  <c r="L1629" i="2"/>
  <c r="L1642" i="2"/>
  <c r="L1661" i="2"/>
  <c r="L1674" i="2"/>
  <c r="L1687" i="2"/>
  <c r="L1700" i="2"/>
  <c r="L1725" i="2"/>
  <c r="L1758" i="2"/>
  <c r="L1946" i="2"/>
  <c r="L1991" i="2"/>
  <c r="L227" i="2"/>
  <c r="L607" i="2"/>
  <c r="L792" i="2"/>
  <c r="L916" i="2"/>
  <c r="L1183" i="2"/>
  <c r="L1229" i="2"/>
  <c r="L1261" i="2"/>
  <c r="L1283" i="2"/>
  <c r="L1307" i="2"/>
  <c r="L1329" i="2"/>
  <c r="L1351" i="2"/>
  <c r="L1375" i="2"/>
  <c r="L1397" i="2"/>
  <c r="L1419" i="2"/>
  <c r="L1465" i="2"/>
  <c r="L1487" i="2"/>
  <c r="L1512" i="2"/>
  <c r="L1532" i="2"/>
  <c r="L1591" i="2"/>
  <c r="L1608" i="2"/>
  <c r="L1626" i="2"/>
  <c r="L1643" i="2"/>
  <c r="L1659" i="2"/>
  <c r="L1677" i="2"/>
  <c r="L1694" i="2"/>
  <c r="L1710" i="2"/>
  <c r="L1755" i="2"/>
  <c r="L1768" i="2"/>
  <c r="L1832" i="2"/>
  <c r="L1920" i="2"/>
  <c r="L1990" i="2"/>
  <c r="L1593" i="2"/>
  <c r="L1627" i="2"/>
  <c r="L1662" i="2"/>
  <c r="L1729" i="2"/>
  <c r="L1757" i="2"/>
  <c r="L1783" i="2"/>
  <c r="L1834" i="2"/>
  <c r="L1896" i="2"/>
  <c r="L1966" i="2"/>
  <c r="L1265" i="2"/>
  <c r="L1333" i="2"/>
  <c r="L1401" i="2"/>
  <c r="L1517" i="2"/>
  <c r="L1630" i="2"/>
  <c r="L1697" i="2"/>
  <c r="L1745" i="2"/>
  <c r="L1784" i="2"/>
  <c r="L1809" i="2"/>
  <c r="L1847" i="2"/>
  <c r="L1868" i="2"/>
  <c r="L1906" i="2"/>
  <c r="L1930" i="2"/>
  <c r="L1960" i="2"/>
  <c r="L1996" i="2"/>
  <c r="L685" i="2"/>
  <c r="L1199" i="2"/>
  <c r="L1243" i="2"/>
  <c r="L1269" i="2"/>
  <c r="L1291" i="2"/>
  <c r="L1337" i="2"/>
  <c r="L1359" i="2"/>
  <c r="L1384" i="2"/>
  <c r="L1452" i="2"/>
  <c r="L1475" i="2"/>
  <c r="L1496" i="2"/>
  <c r="L1520" i="2"/>
  <c r="L1558" i="2"/>
  <c r="L1598" i="2"/>
  <c r="L1614" i="2"/>
  <c r="L1649" i="2"/>
  <c r="L1665" i="2"/>
  <c r="L1684" i="2"/>
  <c r="L1735" i="2"/>
  <c r="L1748" i="2"/>
  <c r="L1773" i="2"/>
  <c r="L1786" i="2"/>
  <c r="L1799" i="2"/>
  <c r="L1812" i="2"/>
  <c r="L1837" i="2"/>
  <c r="L1870" i="2"/>
  <c r="L1880" i="2"/>
  <c r="L1889" i="2"/>
  <c r="L1955" i="2"/>
  <c r="L1974" i="2"/>
  <c r="L1980" i="2"/>
  <c r="L493" i="2"/>
  <c r="L863" i="2"/>
  <c r="L1097" i="2"/>
  <c r="L1164" i="2"/>
  <c r="L1207" i="2"/>
  <c r="L1245" i="2"/>
  <c r="L1295" i="2"/>
  <c r="L1316" i="2"/>
  <c r="L1341" i="2"/>
  <c r="L1409" i="2"/>
  <c r="L1432" i="2"/>
  <c r="L1453" i="2"/>
  <c r="L1477" i="2"/>
  <c r="L1500" i="2"/>
  <c r="L1521" i="2"/>
  <c r="L1542" i="2"/>
  <c r="L1561" i="2"/>
  <c r="L1617" i="2"/>
  <c r="L1633" i="2"/>
  <c r="L1652" i="2"/>
  <c r="L1703" i="2"/>
  <c r="L1720" i="2"/>
  <c r="L1736" i="2"/>
  <c r="L1761" i="2"/>
  <c r="L1774" i="2"/>
  <c r="L1787" i="2"/>
  <c r="L1800" i="2"/>
  <c r="L1825" i="2"/>
  <c r="L1838" i="2"/>
  <c r="L1849" i="2"/>
  <c r="L1860" i="2"/>
  <c r="L1871" i="2"/>
  <c r="L1890" i="2"/>
  <c r="L1899" i="2"/>
  <c r="L1908" i="2"/>
  <c r="L1916" i="2"/>
  <c r="L1924" i="2"/>
  <c r="L1932" i="2"/>
  <c r="L1940" i="2"/>
  <c r="L1948" i="2"/>
  <c r="L1962" i="2"/>
  <c r="L1968" i="2"/>
  <c r="L1975" i="2"/>
  <c r="L1987" i="2"/>
  <c r="L1992" i="2"/>
  <c r="L1998" i="2"/>
  <c r="L1970" i="2"/>
  <c r="L1983" i="2"/>
  <c r="L1994" i="2"/>
  <c r="L1033" i="2"/>
  <c r="L1181" i="2"/>
  <c r="L1256" i="2"/>
  <c r="L1304" i="2"/>
  <c r="L1349" i="2"/>
  <c r="L1393" i="2"/>
  <c r="L1440" i="2"/>
  <c r="L1528" i="2"/>
  <c r="L1607" i="2"/>
  <c r="L1658" i="2"/>
  <c r="L1691" i="2"/>
  <c r="L1726" i="2"/>
  <c r="L1754" i="2"/>
  <c r="L1780" i="2"/>
  <c r="L1805" i="2"/>
  <c r="L1831" i="2"/>
  <c r="L1854" i="2"/>
  <c r="L1894" i="2"/>
  <c r="L1964" i="2"/>
  <c r="L1742" i="2"/>
  <c r="L1793" i="2"/>
  <c r="L1819" i="2"/>
  <c r="L1855" i="2"/>
  <c r="L1876" i="2"/>
  <c r="L1912" i="2"/>
  <c r="L1936" i="2"/>
  <c r="L1952" i="2"/>
  <c r="L1978" i="2"/>
  <c r="L1984" i="2"/>
  <c r="L1995" i="2"/>
  <c r="L1057" i="2"/>
  <c r="L1191" i="2"/>
  <c r="L1231" i="2"/>
  <c r="L1264" i="2"/>
  <c r="L1287" i="2"/>
  <c r="L1308" i="2"/>
  <c r="L1332" i="2"/>
  <c r="L1355" i="2"/>
  <c r="L1376" i="2"/>
  <c r="L1423" i="2"/>
  <c r="L1444" i="2"/>
  <c r="L1469" i="2"/>
  <c r="L1535" i="2"/>
  <c r="L1611" i="2"/>
  <c r="L1645" i="2"/>
  <c r="L1678" i="2"/>
  <c r="L1713" i="2"/>
  <c r="L1770" i="2"/>
  <c r="L1796" i="2"/>
  <c r="L1821" i="2"/>
  <c r="L1846" i="2"/>
  <c r="L1878" i="2"/>
  <c r="L1887" i="2"/>
  <c r="L1905" i="2"/>
  <c r="L1972" i="2"/>
  <c r="L1979" i="2"/>
  <c r="L420" i="2"/>
  <c r="L656" i="2"/>
  <c r="L957" i="2"/>
  <c r="L1148" i="2"/>
  <c r="L1197" i="2"/>
  <c r="L1239" i="2"/>
  <c r="L1289" i="2"/>
  <c r="L1312" i="2"/>
  <c r="L1380" i="2"/>
  <c r="L1427" i="2"/>
  <c r="L1495" i="2"/>
  <c r="L1536" i="2"/>
  <c r="L1576" i="2"/>
  <c r="L1613" i="2"/>
  <c r="L1646" i="2"/>
  <c r="L1681" i="2"/>
  <c r="L1716" i="2"/>
  <c r="L1771" i="2"/>
  <c r="L1822" i="2"/>
  <c r="L1835" i="2"/>
  <c r="L1857" i="2"/>
  <c r="L1914" i="2"/>
  <c r="L1922" i="2"/>
  <c r="L1938" i="2"/>
  <c r="L1954" i="2"/>
  <c r="L1967" i="2"/>
  <c r="L1986" i="2"/>
  <c r="L528" i="2"/>
  <c r="L727" i="2"/>
  <c r="L1213" i="2"/>
  <c r="L1273" i="2"/>
  <c r="L1299" i="2"/>
  <c r="L1367" i="2"/>
  <c r="L1389" i="2"/>
  <c r="L1411" i="2"/>
  <c r="L1435" i="2"/>
  <c r="L1457" i="2"/>
  <c r="L1479" i="2"/>
  <c r="L1503" i="2"/>
  <c r="L1543" i="2"/>
  <c r="L1564" i="2"/>
  <c r="L1583" i="2"/>
  <c r="L1601" i="2"/>
  <c r="L1620" i="2"/>
  <c r="L1671" i="2"/>
  <c r="L1688" i="2"/>
  <c r="L1704" i="2"/>
  <c r="L1722" i="2"/>
  <c r="L1738" i="2"/>
  <c r="L1751" i="2"/>
  <c r="L1764" i="2"/>
  <c r="L1789" i="2"/>
  <c r="L1802" i="2"/>
  <c r="L1815" i="2"/>
  <c r="L1828" i="2"/>
  <c r="L1862" i="2"/>
  <c r="L1956" i="2"/>
  <c r="L1963" i="2"/>
  <c r="L1982" i="2"/>
  <c r="L10" i="2"/>
  <c r="L1009" i="2"/>
  <c r="L1175" i="2"/>
  <c r="L1215" i="2"/>
  <c r="L1255" i="2"/>
  <c r="L1324" i="2"/>
  <c r="L1347" i="2"/>
  <c r="L1368" i="2"/>
  <c r="L1392" i="2"/>
  <c r="L1415" i="2"/>
  <c r="L1436" i="2"/>
  <c r="L1460" i="2"/>
  <c r="L1483" i="2"/>
  <c r="L1504" i="2"/>
  <c r="L1639" i="2"/>
  <c r="L1656" i="2"/>
  <c r="L1672" i="2"/>
  <c r="L1690" i="2"/>
  <c r="L1707" i="2"/>
  <c r="L1723" i="2"/>
  <c r="L1739" i="2"/>
  <c r="L1752" i="2"/>
  <c r="L1777" i="2"/>
  <c r="L1790" i="2"/>
  <c r="L1803" i="2"/>
  <c r="L1816" i="2"/>
  <c r="L1841" i="2"/>
  <c r="L1852" i="2"/>
  <c r="L1863" i="2"/>
  <c r="L1873" i="2"/>
  <c r="L1883" i="2"/>
  <c r="L1892" i="2"/>
  <c r="L1901" i="2"/>
  <c r="L1910" i="2"/>
  <c r="L1918" i="2"/>
  <c r="L1926" i="2"/>
  <c r="L1934" i="2"/>
  <c r="L1942" i="2"/>
  <c r="L1950" i="2"/>
  <c r="L1976" i="2"/>
  <c r="L1988" i="2"/>
  <c r="L1999" i="2"/>
  <c r="L185" i="2"/>
  <c r="L911" i="2"/>
  <c r="L1223" i="2"/>
  <c r="L1281" i="2"/>
  <c r="L1325" i="2"/>
  <c r="L1372" i="2"/>
  <c r="L1417" i="2"/>
  <c r="L1461" i="2"/>
  <c r="L1508" i="2"/>
  <c r="L1550" i="2"/>
  <c r="L1587" i="2"/>
  <c r="L1624" i="2"/>
  <c r="L1640" i="2"/>
  <c r="L1675" i="2"/>
  <c r="L1709" i="2"/>
  <c r="L1741" i="2"/>
  <c r="L1767" i="2"/>
  <c r="L1818" i="2"/>
  <c r="L1903" i="2"/>
  <c r="L1958" i="2"/>
  <c r="L1971" i="2"/>
  <c r="L1806" i="2"/>
  <c r="L1844" i="2"/>
  <c r="L1865" i="2"/>
  <c r="L1885" i="2"/>
  <c r="L1928" i="2"/>
  <c r="L1944" i="2"/>
  <c r="L1959" i="2"/>
  <c r="L6" i="2"/>
  <c r="L9" i="2"/>
  <c r="L5" i="2"/>
  <c r="L8" i="2"/>
  <c r="L4" i="2"/>
  <c r="L2" i="2"/>
  <c r="L7" i="2"/>
  <c r="E3" i="1" a="1"/>
  <c r="G5" i="2" l="1"/>
  <c r="K3" i="2"/>
  <c r="F3" i="1"/>
  <c r="E4" i="1"/>
  <c r="F4" i="1"/>
  <c r="E3" i="1"/>
  <c r="G4" i="2" l="1"/>
  <c r="H3" i="2"/>
  <c r="G3" i="2"/>
  <c r="H4" i="2"/>
  <c r="I5" i="1"/>
  <c r="I6" i="1"/>
  <c r="P5" i="2" l="1"/>
  <c r="P4" i="2"/>
</calcChain>
</file>

<file path=xl/sharedStrings.xml><?xml version="1.0" encoding="utf-8"?>
<sst xmlns="http://schemas.openxmlformats.org/spreadsheetml/2006/main" count="33" uniqueCount="24">
  <si>
    <t>x</t>
  </si>
  <si>
    <t>u(x)</t>
  </si>
  <si>
    <t>y</t>
  </si>
  <si>
    <t>u(y)</t>
  </si>
  <si>
    <t>m</t>
  </si>
  <si>
    <t>b</t>
  </si>
  <si>
    <t>value</t>
  </si>
  <si>
    <t>Slope</t>
  </si>
  <si>
    <t>LINEST     y=mx+b</t>
  </si>
  <si>
    <t>uncertainty</t>
  </si>
  <si>
    <t>Last row</t>
  </si>
  <si>
    <t>Calculations</t>
  </si>
  <si>
    <t>1/sigma^2</t>
  </si>
  <si>
    <t>Delta</t>
  </si>
  <si>
    <t>CALCULATIONS</t>
  </si>
  <si>
    <t>Analytic method  y=mx+b</t>
  </si>
  <si>
    <t>Warnings</t>
  </si>
  <si>
    <t>uncertainty check</t>
  </si>
  <si>
    <t>min(x)</t>
  </si>
  <si>
    <t>max(x)</t>
  </si>
  <si>
    <t>y(xmin)</t>
  </si>
  <si>
    <t>y(xmax)</t>
  </si>
  <si>
    <t>Values for plotting</t>
  </si>
  <si>
    <t>Type A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</si>
</sst>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3" fillId="0" borderId="5" applyNumberFormat="0" applyFill="0" applyAlignment="0" applyProtection="0"/>
    <xf numFmtId="0" fontId="4" fillId="3" borderId="6" applyNumberFormat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1" xfId="1" applyFont="1"/>
    <xf numFmtId="0" fontId="0" fillId="2" borderId="1" xfId="1" applyFont="1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right"/>
    </xf>
    <xf numFmtId="0" fontId="5" fillId="0" borderId="0" xfId="0" applyFont="1"/>
    <xf numFmtId="0" fontId="0" fillId="0" borderId="0" xfId="0" applyAlignment="1">
      <alignment horizontal="left"/>
    </xf>
    <xf numFmtId="0" fontId="4" fillId="3" borderId="6" xfId="3"/>
    <xf numFmtId="0" fontId="6" fillId="3" borderId="6" xfId="3" applyFont="1"/>
    <xf numFmtId="0" fontId="2" fillId="0" borderId="0" xfId="0" applyFont="1" applyAlignment="1"/>
    <xf numFmtId="0" fontId="3" fillId="0" borderId="5" xfId="2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2" fillId="2" borderId="1" xfId="1" applyFont="1" applyAlignment="1"/>
    <xf numFmtId="0" fontId="3" fillId="0" borderId="5" xfId="2" applyNumberFormat="1" applyAlignment="1" applyProtection="1">
      <alignment horizontal="center"/>
      <protection locked="0"/>
    </xf>
    <xf numFmtId="0" fontId="2" fillId="2" borderId="2" xfId="1" applyFont="1" applyBorder="1" applyAlignment="1">
      <alignment horizontal="center"/>
    </xf>
    <xf numFmtId="0" fontId="2" fillId="2" borderId="3" xfId="1" applyFont="1" applyBorder="1" applyAlignment="1">
      <alignment horizontal="center"/>
    </xf>
    <xf numFmtId="0" fontId="2" fillId="2" borderId="4" xfId="1" applyFont="1" applyBorder="1" applyAlignment="1">
      <alignment horizontal="center"/>
    </xf>
    <xf numFmtId="0" fontId="4" fillId="3" borderId="6" xfId="3" applyAlignment="1">
      <alignment horizontal="center"/>
    </xf>
    <xf numFmtId="0" fontId="7" fillId="3" borderId="6" xfId="3" applyFont="1" applyAlignment="1">
      <alignment horizontal="center"/>
    </xf>
  </cellXfs>
  <cellStyles count="4">
    <cellStyle name="Calculation" xfId="3" builtinId="22"/>
    <cellStyle name="Heading 1" xfId="2" builtinId="16"/>
    <cellStyle name="Normal" xfId="0" builtinId="0"/>
    <cellStyle name="Note" xfId="1" builtinId="1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LINEST!$B$1</c:f>
              <c:strCache>
                <c:ptCount val="1"/>
                <c:pt idx="0">
                  <c:v>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</c:marker>
          <c:xVal>
            <c:numRef>
              <c:f>LINEST!$A$2:$A$2000</c:f>
              <c:numCache>
                <c:formatCode>General</c:formatCode>
                <c:ptCount val="1999"/>
                <c:pt idx="0">
                  <c:v>25</c:v>
                </c:pt>
                <c:pt idx="1">
                  <c:v>16</c:v>
                </c:pt>
                <c:pt idx="2">
                  <c:v>11.11</c:v>
                </c:pt>
                <c:pt idx="3">
                  <c:v>8.16</c:v>
                </c:pt>
                <c:pt idx="4">
                  <c:v>6.25</c:v>
                </c:pt>
                <c:pt idx="5">
                  <c:v>4.9400000000000004</c:v>
                </c:pt>
                <c:pt idx="6">
                  <c:v>4</c:v>
                </c:pt>
                <c:pt idx="7">
                  <c:v>2.78</c:v>
                </c:pt>
                <c:pt idx="8">
                  <c:v>1.78</c:v>
                </c:pt>
                <c:pt idx="9">
                  <c:v>1</c:v>
                </c:pt>
              </c:numCache>
            </c:numRef>
          </c:xVal>
          <c:yVal>
            <c:numRef>
              <c:f>LINEST!$B$2:$B$2000</c:f>
              <c:numCache>
                <c:formatCode>General</c:formatCode>
                <c:ptCount val="1999"/>
                <c:pt idx="0">
                  <c:v>901</c:v>
                </c:pt>
                <c:pt idx="1">
                  <c:v>652</c:v>
                </c:pt>
                <c:pt idx="2">
                  <c:v>443</c:v>
                </c:pt>
                <c:pt idx="3">
                  <c:v>339</c:v>
                </c:pt>
                <c:pt idx="4">
                  <c:v>283</c:v>
                </c:pt>
                <c:pt idx="5">
                  <c:v>281</c:v>
                </c:pt>
                <c:pt idx="6">
                  <c:v>240</c:v>
                </c:pt>
                <c:pt idx="7">
                  <c:v>220</c:v>
                </c:pt>
                <c:pt idx="8">
                  <c:v>180</c:v>
                </c:pt>
                <c:pt idx="9">
                  <c:v>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C4-40FB-B1BE-A644DEE7491B}"/>
            </c:ext>
          </c:extLst>
        </c:ser>
        <c:ser>
          <c:idx val="1"/>
          <c:order val="1"/>
          <c:tx>
            <c:v>line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LINEST!$I$3:$I$4</c:f>
              <c:numCache>
                <c:formatCode>General</c:formatCode>
                <c:ptCount val="2"/>
                <c:pt idx="0">
                  <c:v>1</c:v>
                </c:pt>
                <c:pt idx="1">
                  <c:v>25</c:v>
                </c:pt>
              </c:numCache>
            </c:numRef>
          </c:xVal>
          <c:yVal>
            <c:numRef>
              <c:f>LINEST!$I$5:$I$6</c:f>
              <c:numCache>
                <c:formatCode>General</c:formatCode>
                <c:ptCount val="2"/>
                <c:pt idx="0">
                  <c:v>145.73379157293652</c:v>
                </c:pt>
                <c:pt idx="1">
                  <c:v>901.23773444107542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4-40FB-B1BE-A644DEE74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44448"/>
        <c:axId val="77624064"/>
      </c:scatterChart>
      <c:valAx>
        <c:axId val="7754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 [units]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7624064"/>
        <c:crosses val="autoZero"/>
        <c:crossBetween val="midCat"/>
      </c:valAx>
      <c:valAx>
        <c:axId val="776240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CA"/>
                  <a:t>y [units]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7544448"/>
        <c:crosses val="autoZero"/>
        <c:crossBetween val="midCat"/>
      </c:valAx>
      <c:spPr>
        <a:noFill/>
        <a:ln w="12700">
          <a:solidFill>
            <a:schemeClr val="tx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'Fit with uncertainty'!$C$1</c:f>
              <c:strCache>
                <c:ptCount val="1"/>
                <c:pt idx="0">
                  <c:v>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</c:marker>
          <c:errBars>
            <c:errDir val="y"/>
            <c:errBarType val="both"/>
            <c:errValType val="cust"/>
            <c:noEndCap val="0"/>
            <c:plus>
              <c:numRef>
                <c:f>'Fit with uncertainty'!$D$2:$D$2000</c:f>
                <c:numCache>
                  <c:formatCode>General</c:formatCode>
                  <c:ptCount val="1999"/>
                  <c:pt idx="0">
                    <c:v>30</c:v>
                  </c:pt>
                  <c:pt idx="1">
                    <c:v>25.5</c:v>
                  </c:pt>
                  <c:pt idx="2">
                    <c:v>21</c:v>
                  </c:pt>
                  <c:pt idx="3">
                    <c:v>18.399999999999999</c:v>
                  </c:pt>
                  <c:pt idx="4">
                    <c:v>16.8</c:v>
                  </c:pt>
                  <c:pt idx="5">
                    <c:v>16.8</c:v>
                  </c:pt>
                  <c:pt idx="6">
                    <c:v>15.5</c:v>
                  </c:pt>
                  <c:pt idx="7">
                    <c:v>14.8</c:v>
                  </c:pt>
                  <c:pt idx="8">
                    <c:v>13.4</c:v>
                  </c:pt>
                  <c:pt idx="9">
                    <c:v>12.4</c:v>
                  </c:pt>
                </c:numCache>
              </c:numRef>
            </c:plus>
            <c:minus>
              <c:numRef>
                <c:f>'Fit with uncertainty'!$D$2:$D$2000</c:f>
                <c:numCache>
                  <c:formatCode>General</c:formatCode>
                  <c:ptCount val="1999"/>
                  <c:pt idx="0">
                    <c:v>30</c:v>
                  </c:pt>
                  <c:pt idx="1">
                    <c:v>25.5</c:v>
                  </c:pt>
                  <c:pt idx="2">
                    <c:v>21</c:v>
                  </c:pt>
                  <c:pt idx="3">
                    <c:v>18.399999999999999</c:v>
                  </c:pt>
                  <c:pt idx="4">
                    <c:v>16.8</c:v>
                  </c:pt>
                  <c:pt idx="5">
                    <c:v>16.8</c:v>
                  </c:pt>
                  <c:pt idx="6">
                    <c:v>15.5</c:v>
                  </c:pt>
                  <c:pt idx="7">
                    <c:v>14.8</c:v>
                  </c:pt>
                  <c:pt idx="8">
                    <c:v>13.4</c:v>
                  </c:pt>
                  <c:pt idx="9">
                    <c:v>12.4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Ref>
                <c:f>'Fit with uncertainty'!$B$2:$B$2000</c:f>
                <c:numCache>
                  <c:formatCode>General</c:formatCode>
                  <c:ptCount val="1999"/>
                  <c:pt idx="0">
                    <c:v>0.3</c:v>
                  </c:pt>
                  <c:pt idx="1">
                    <c:v>0.3</c:v>
                  </c:pt>
                  <c:pt idx="2">
                    <c:v>0.3</c:v>
                  </c:pt>
                  <c:pt idx="3">
                    <c:v>0.3</c:v>
                  </c:pt>
                  <c:pt idx="4">
                    <c:v>0.3</c:v>
                  </c:pt>
                  <c:pt idx="5">
                    <c:v>0.3</c:v>
                  </c:pt>
                  <c:pt idx="6">
                    <c:v>0.3</c:v>
                  </c:pt>
                  <c:pt idx="7">
                    <c:v>0.3</c:v>
                  </c:pt>
                  <c:pt idx="8">
                    <c:v>0.3</c:v>
                  </c:pt>
                  <c:pt idx="9">
                    <c:v>0.3</c:v>
                  </c:pt>
                </c:numCache>
              </c:numRef>
            </c:plus>
            <c:minus>
              <c:numRef>
                <c:f>'Fit with uncertainty'!$B$2:$B$2000</c:f>
                <c:numCache>
                  <c:formatCode>General</c:formatCode>
                  <c:ptCount val="1999"/>
                  <c:pt idx="0">
                    <c:v>0.3</c:v>
                  </c:pt>
                  <c:pt idx="1">
                    <c:v>0.3</c:v>
                  </c:pt>
                  <c:pt idx="2">
                    <c:v>0.3</c:v>
                  </c:pt>
                  <c:pt idx="3">
                    <c:v>0.3</c:v>
                  </c:pt>
                  <c:pt idx="4">
                    <c:v>0.3</c:v>
                  </c:pt>
                  <c:pt idx="5">
                    <c:v>0.3</c:v>
                  </c:pt>
                  <c:pt idx="6">
                    <c:v>0.3</c:v>
                  </c:pt>
                  <c:pt idx="7">
                    <c:v>0.3</c:v>
                  </c:pt>
                  <c:pt idx="8">
                    <c:v>0.3</c:v>
                  </c:pt>
                  <c:pt idx="9">
                    <c:v>0.3</c:v>
                  </c:pt>
                </c:numCache>
              </c:numRef>
            </c:minus>
          </c:errBars>
          <c:xVal>
            <c:numRef>
              <c:f>'Fit with uncertainty'!$A$2:$A$2000</c:f>
              <c:numCache>
                <c:formatCode>General</c:formatCode>
                <c:ptCount val="1999"/>
                <c:pt idx="0">
                  <c:v>25</c:v>
                </c:pt>
                <c:pt idx="1">
                  <c:v>16</c:v>
                </c:pt>
                <c:pt idx="2">
                  <c:v>11.11</c:v>
                </c:pt>
                <c:pt idx="3">
                  <c:v>8.16</c:v>
                </c:pt>
                <c:pt idx="4">
                  <c:v>6.25</c:v>
                </c:pt>
                <c:pt idx="5">
                  <c:v>4.9400000000000004</c:v>
                </c:pt>
                <c:pt idx="6">
                  <c:v>4</c:v>
                </c:pt>
                <c:pt idx="7">
                  <c:v>2.78</c:v>
                </c:pt>
                <c:pt idx="8">
                  <c:v>1.78</c:v>
                </c:pt>
                <c:pt idx="9">
                  <c:v>1</c:v>
                </c:pt>
              </c:numCache>
            </c:numRef>
          </c:xVal>
          <c:yVal>
            <c:numRef>
              <c:f>'Fit with uncertainty'!$C$2:$C$2000</c:f>
              <c:numCache>
                <c:formatCode>General</c:formatCode>
                <c:ptCount val="1999"/>
                <c:pt idx="0">
                  <c:v>901</c:v>
                </c:pt>
                <c:pt idx="1">
                  <c:v>652</c:v>
                </c:pt>
                <c:pt idx="2">
                  <c:v>443</c:v>
                </c:pt>
                <c:pt idx="3">
                  <c:v>339</c:v>
                </c:pt>
                <c:pt idx="4">
                  <c:v>283</c:v>
                </c:pt>
                <c:pt idx="5">
                  <c:v>281</c:v>
                </c:pt>
                <c:pt idx="6">
                  <c:v>240</c:v>
                </c:pt>
                <c:pt idx="7">
                  <c:v>220</c:v>
                </c:pt>
                <c:pt idx="8">
                  <c:v>180</c:v>
                </c:pt>
                <c:pt idx="9">
                  <c:v>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13-43AD-B148-CA16890B5799}"/>
            </c:ext>
          </c:extLst>
        </c:ser>
        <c:ser>
          <c:idx val="1"/>
          <c:order val="1"/>
          <c:tx>
            <c:v>line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'Fit with uncertainty'!$P$2:$P$3</c:f>
              <c:numCache>
                <c:formatCode>General</c:formatCode>
                <c:ptCount val="2"/>
                <c:pt idx="0">
                  <c:v>1</c:v>
                </c:pt>
                <c:pt idx="1">
                  <c:v>25</c:v>
                </c:pt>
              </c:numCache>
            </c:numRef>
          </c:xVal>
          <c:yVal>
            <c:numRef>
              <c:f>'Fit with uncertainty'!$P$4:$P$5</c:f>
              <c:numCache>
                <c:formatCode>General</c:formatCode>
                <c:ptCount val="2"/>
                <c:pt idx="0">
                  <c:v>149.13488165748791</c:v>
                </c:pt>
                <c:pt idx="1">
                  <c:v>890.2026723442475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13-43AD-B148-CA16890B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6032"/>
        <c:axId val="124999552"/>
      </c:scatterChart>
      <c:valAx>
        <c:axId val="12495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 [units]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4999552"/>
        <c:crosses val="autoZero"/>
        <c:crossBetween val="midCat"/>
      </c:valAx>
      <c:valAx>
        <c:axId val="124999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CA"/>
                  <a:t>y [units]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4956032"/>
        <c:crosses val="autoZero"/>
        <c:crossBetween val="midCat"/>
      </c:valAx>
      <c:spPr>
        <a:noFill/>
        <a:ln w="12700">
          <a:solidFill>
            <a:schemeClr val="tx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161927</xdr:colOff>
      <xdr:row>6</xdr:row>
      <xdr:rowOff>95252</xdr:rowOff>
    </xdr:from>
    <xdr:to>
      <xdr:col>8</xdr:col>
      <xdr:colOff>466725</xdr:colOff>
      <xdr:row>25</xdr:row>
      <xdr:rowOff>95250</xdr:rowOff>
    </xdr:to>
    <xdr:sp macro="" textlink="">
      <xdr:nvSpPr>
        <xdr:cNvPr id="3" name="Rectangle 2"/>
        <xdr:cNvSpPr/>
      </xdr:nvSpPr>
      <xdr:spPr>
        <a:xfrm>
          <a:off x="1466852" y="1314452"/>
          <a:ext cx="4114798" cy="361949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C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Description:</a:t>
          </a:r>
          <a:endParaRPr lang="en-CA">
            <a:effectLst/>
          </a:endParaRPr>
        </a:p>
        <a:p>
          <a:r>
            <a:rPr lang="en-C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sheet uses Excel's built-in LINEST function to fit a line to a set of data points. The LINEST function does not accept uncertainties for the data points. The resulting uncertainty in the line of best fit (y=mx+b) is strictly a type-A estimate of the overall uncertainty derived from the scatter in the points.</a:t>
          </a:r>
        </a:p>
        <a:p>
          <a:endParaRPr lang="en-CA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CA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to use this method:</a:t>
          </a:r>
        </a:p>
        <a:p>
          <a:r>
            <a:rPr lang="en-CA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do not have uncertainty estimates for your data points, use this method.</a:t>
          </a:r>
        </a:p>
        <a:p>
          <a:endParaRPr lang="en-CA">
            <a:effectLst/>
          </a:endParaRPr>
        </a:p>
        <a:p>
          <a:pPr algn="l"/>
          <a:r>
            <a:rPr lang="en-CA" sz="1100" b="1"/>
            <a:t>Instructions:</a:t>
          </a:r>
        </a:p>
        <a:p>
          <a:pPr algn="l"/>
          <a:r>
            <a:rPr lang="en-CA" sz="1100" baseline="0"/>
            <a:t>Copy your data into columns A and B. The fit is updated automatically. Name the graph axes appropriately.</a:t>
          </a:r>
        </a:p>
        <a:p>
          <a:pPr algn="l"/>
          <a:endParaRPr lang="en-CA" sz="1100" baseline="0"/>
        </a:p>
        <a:p>
          <a:pPr algn="l"/>
          <a:r>
            <a:rPr lang="en-CA" sz="1100" b="1" baseline="0"/>
            <a:t>Notes: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LINEST formula is an "array formula" that returns multiple values (E3:F4) from a single function. If you're copying the function to another spreadsheet, be aware that it needs to be entered by selecting a 2x2 array of cells and using Ctrl+Shift+Enter.</a:t>
          </a:r>
          <a:endParaRPr lang="en-CA">
            <a:effectLst/>
          </a:endParaRPr>
        </a:p>
      </xdr:txBody>
    </xdr:sp>
    <xdr:clientData/>
  </xdr:twoCellAnchor>
  <xdr:twoCellAnchor>
    <xdr:from>
      <xdr:col>9</xdr:col>
      <xdr:colOff>47625</xdr:colOff>
      <xdr:row>0</xdr:row>
      <xdr:rowOff>9525</xdr:rowOff>
    </xdr:from>
    <xdr:to>
      <xdr:col>16</xdr:col>
      <xdr:colOff>600075</xdr:colOff>
      <xdr:row>28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5</xdr:row>
      <xdr:rowOff>123825</xdr:rowOff>
    </xdr:from>
    <xdr:to>
      <xdr:col>10</xdr:col>
      <xdr:colOff>314325</xdr:colOff>
      <xdr:row>26</xdr:row>
      <xdr:rowOff>133350</xdr:rowOff>
    </xdr:to>
    <xdr:sp macro="" textlink="">
      <xdr:nvSpPr>
        <xdr:cNvPr id="3" name="Rectangle 2"/>
        <xdr:cNvSpPr/>
      </xdr:nvSpPr>
      <xdr:spPr>
        <a:xfrm>
          <a:off x="2657475" y="1152525"/>
          <a:ext cx="3695700" cy="40100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CA" sz="1100" b="1"/>
            <a:t>Description:</a:t>
          </a:r>
        </a:p>
        <a:p>
          <a:pPr algn="l"/>
          <a:r>
            <a:rPr lang="en-CA" sz="1100"/>
            <a:t>This</a:t>
          </a:r>
          <a:r>
            <a:rPr lang="en-CA" sz="1100" baseline="0"/>
            <a:t> sheet calculates the linear best fit y=mx+b, propagating uncertainty in both x and y for each data point through the linefitting equations.  The resulting uncertainty in the fit includes both type-A uncertainty derived from the scatter in the points (like the LINEST function provides) and also  uncertainty in the individual points. </a:t>
          </a:r>
        </a:p>
        <a:p>
          <a:pPr algn="l"/>
          <a:endParaRPr lang="en-CA" sz="1100" baseline="0"/>
        </a:p>
        <a:p>
          <a:pPr algn="l"/>
          <a:r>
            <a:rPr lang="en-CA" sz="1100" b="1" baseline="0"/>
            <a:t>Instructions: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Copy your data into columns A:D.  The fit is updated automatically. Name the graph axes appropriately.</a:t>
          </a:r>
          <a:endParaRPr lang="en-CA">
            <a:effectLst/>
          </a:endParaRPr>
        </a:p>
        <a:p>
          <a:pPr algn="l"/>
          <a:endParaRPr lang="en-CA" sz="1100" baseline="0"/>
        </a:p>
        <a:p>
          <a:pPr algn="l"/>
          <a:r>
            <a:rPr lang="en-CA" sz="1100" b="1" baseline="0"/>
            <a:t>Notes: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aseline="0"/>
            <a:t>This method does not work well if the uncertainty is dominantly in x.  A warning will be issued in this case (cell H6), in which case you should consider swapping x and y. </a:t>
          </a:r>
          <a:r>
            <a:rPr lang="en-CA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method will fail entirely if all uncertainties are set to zero (in this case, use LINEST).</a:t>
          </a:r>
          <a:endParaRPr lang="en-CA" sz="1100" baseline="0"/>
        </a:p>
        <a:p>
          <a:pPr algn="l"/>
          <a:endParaRPr lang="en-CA" sz="1100" baseline="0"/>
        </a:p>
        <a:p>
          <a:pPr algn="l"/>
          <a:r>
            <a:rPr lang="en-CA" sz="1100" b="1" baseline="0"/>
            <a:t>Reference:</a:t>
          </a:r>
        </a:p>
        <a:p>
          <a:pPr algn="l"/>
          <a:r>
            <a:rPr lang="en-CA" sz="1100" baseline="0"/>
            <a:t>Bevington and Robinson (1992) Data Reduction and Error Analysis for the Physical Sciences, 2</a:t>
          </a:r>
          <a:r>
            <a:rPr lang="en-CA" sz="1100" baseline="30000"/>
            <a:t>nd</a:t>
          </a:r>
          <a:r>
            <a:rPr lang="en-CA" sz="1100" baseline="0"/>
            <a:t> ed., McGraw-Hill.</a:t>
          </a:r>
        </a:p>
      </xdr:txBody>
    </xdr:sp>
    <xdr:clientData/>
  </xdr:twoCellAnchor>
  <xdr:twoCellAnchor>
    <xdr:from>
      <xdr:col>11</xdr:col>
      <xdr:colOff>47625</xdr:colOff>
      <xdr:row>1</xdr:row>
      <xdr:rowOff>180974</xdr:rowOff>
    </xdr:from>
    <xdr:to>
      <xdr:col>19</xdr:col>
      <xdr:colOff>285750</xdr:colOff>
      <xdr:row>31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 x14ac:dyDescent="0.25"/>
  <cols>
    <col min="1" max="2" width="9.140625" style="12"/>
    <col min="3" max="3" width="1.28515625" style="6" customWidth="1"/>
    <col min="4" max="4" width="18.28515625" customWidth="1"/>
    <col min="7" max="7" width="9.140625" customWidth="1"/>
    <col min="8" max="8" width="11.42578125" customWidth="1"/>
  </cols>
  <sheetData>
    <row r="1" spans="1:9" ht="20.25" thickBot="1" x14ac:dyDescent="0.35">
      <c r="A1" s="11" t="s">
        <v>0</v>
      </c>
      <c r="B1" s="11" t="s">
        <v>2</v>
      </c>
      <c r="D1" s="16" t="s">
        <v>8</v>
      </c>
      <c r="E1" s="17"/>
      <c r="F1" s="18"/>
      <c r="H1" s="19" t="s">
        <v>11</v>
      </c>
      <c r="I1" s="19"/>
    </row>
    <row r="2" spans="1:9" ht="15.75" thickTop="1" x14ac:dyDescent="0.25">
      <c r="A2" s="12">
        <v>25</v>
      </c>
      <c r="B2" s="12">
        <v>901</v>
      </c>
      <c r="D2" s="2"/>
      <c r="E2" s="4" t="s">
        <v>4</v>
      </c>
      <c r="F2" s="4" t="s">
        <v>5</v>
      </c>
      <c r="H2" s="9" t="s">
        <v>10</v>
      </c>
      <c r="I2" s="9">
        <f>COUNTA(A:A)</f>
        <v>11</v>
      </c>
    </row>
    <row r="3" spans="1:9" x14ac:dyDescent="0.25">
      <c r="A3" s="12">
        <v>16</v>
      </c>
      <c r="B3" s="12">
        <v>652</v>
      </c>
      <c r="D3" s="5" t="s">
        <v>6</v>
      </c>
      <c r="E3" s="3">
        <f t="array" aca="1" ref="E3:F4" ca="1">LINEST(B2:INDIRECT("B"&amp;I2),A2:INDIRECT("A"&amp;I2),TRUE,TRUE)</f>
        <v>31.479330952839124</v>
      </c>
      <c r="F3" s="3">
        <f ca="1"/>
        <v>114.2544606200974</v>
      </c>
      <c r="H3" s="9" t="s">
        <v>18</v>
      </c>
      <c r="I3" s="9">
        <f>MIN(A:A)</f>
        <v>1</v>
      </c>
    </row>
    <row r="4" spans="1:9" x14ac:dyDescent="0.25">
      <c r="A4" s="12">
        <v>11.11</v>
      </c>
      <c r="B4" s="12">
        <v>443</v>
      </c>
      <c r="D4" s="5" t="s">
        <v>23</v>
      </c>
      <c r="E4" s="3">
        <f ca="1"/>
        <v>0.99896998769624479</v>
      </c>
      <c r="F4" s="3">
        <f ca="1"/>
        <v>10.770270658436335</v>
      </c>
      <c r="H4" s="9" t="s">
        <v>19</v>
      </c>
      <c r="I4" s="9">
        <f>MAX(A:A)</f>
        <v>25</v>
      </c>
    </row>
    <row r="5" spans="1:9" x14ac:dyDescent="0.25">
      <c r="A5" s="12">
        <v>8.16</v>
      </c>
      <c r="B5" s="12">
        <v>339</v>
      </c>
      <c r="D5" s="1"/>
      <c r="H5" s="9" t="s">
        <v>20</v>
      </c>
      <c r="I5" s="9">
        <f ca="1">$E$3*I3+$F$3</f>
        <v>145.73379157293652</v>
      </c>
    </row>
    <row r="6" spans="1:9" x14ac:dyDescent="0.25">
      <c r="A6" s="12">
        <v>6.25</v>
      </c>
      <c r="B6" s="12">
        <v>283</v>
      </c>
      <c r="H6" s="9" t="s">
        <v>21</v>
      </c>
      <c r="I6" s="9">
        <f ca="1">$E$3*I4+$F$3</f>
        <v>901.23773444107542</v>
      </c>
    </row>
    <row r="7" spans="1:9" x14ac:dyDescent="0.25">
      <c r="A7" s="12">
        <v>4.9400000000000004</v>
      </c>
      <c r="B7" s="12">
        <v>281</v>
      </c>
    </row>
    <row r="8" spans="1:9" x14ac:dyDescent="0.25">
      <c r="A8" s="12">
        <v>4</v>
      </c>
      <c r="B8" s="12">
        <v>240</v>
      </c>
    </row>
    <row r="9" spans="1:9" x14ac:dyDescent="0.25">
      <c r="A9" s="12">
        <v>2.78</v>
      </c>
      <c r="B9" s="12">
        <v>220</v>
      </c>
    </row>
    <row r="10" spans="1:9" x14ac:dyDescent="0.25">
      <c r="A10" s="12">
        <v>1.78</v>
      </c>
      <c r="B10" s="12">
        <v>180</v>
      </c>
    </row>
    <row r="11" spans="1:9" x14ac:dyDescent="0.25">
      <c r="A11" s="12">
        <v>1</v>
      </c>
      <c r="B11" s="12">
        <v>154</v>
      </c>
    </row>
  </sheetData>
  <sheetProtection sheet="1" scenarios="1" formatCells="0"/>
  <mergeCells count="2">
    <mergeCell ref="D1:F1"/>
    <mergeCell ref="H1:I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99"/>
  <sheetViews>
    <sheetView tabSelected="1" zoomScaleNormal="100" workbookViewId="0"/>
  </sheetViews>
  <sheetFormatPr defaultRowHeight="15" x14ac:dyDescent="0.25"/>
  <cols>
    <col min="1" max="3" width="9.140625" style="12"/>
    <col min="4" max="4" width="9.140625" style="13"/>
    <col min="5" max="5" width="2.42578125" customWidth="1"/>
    <col min="6" max="6" width="12.42578125" customWidth="1"/>
    <col min="9" max="9" width="3.140625" customWidth="1"/>
    <col min="10" max="10" width="17.7109375" style="9" customWidth="1"/>
    <col min="11" max="11" width="9.140625" style="9" customWidth="1"/>
    <col min="12" max="12" width="11.7109375" style="9" customWidth="1"/>
    <col min="13" max="13" width="16.140625" style="9" customWidth="1"/>
    <col min="14" max="14" width="1.28515625" customWidth="1"/>
    <col min="15" max="15" width="17.28515625" customWidth="1"/>
  </cols>
  <sheetData>
    <row r="1" spans="1:16" ht="20.25" thickBot="1" x14ac:dyDescent="0.35">
      <c r="A1" s="11" t="s">
        <v>0</v>
      </c>
      <c r="B1" s="11" t="s">
        <v>1</v>
      </c>
      <c r="C1" s="11" t="s">
        <v>2</v>
      </c>
      <c r="D1" s="15" t="s">
        <v>3</v>
      </c>
      <c r="F1" s="16" t="s">
        <v>15</v>
      </c>
      <c r="G1" s="17"/>
      <c r="H1" s="18"/>
      <c r="J1" s="8" t="s">
        <v>14</v>
      </c>
      <c r="L1" s="9" t="s">
        <v>12</v>
      </c>
      <c r="M1" s="9" t="s">
        <v>17</v>
      </c>
      <c r="O1" s="20" t="s">
        <v>22</v>
      </c>
      <c r="P1" s="20"/>
    </row>
    <row r="2" spans="1:16" ht="15.75" thickTop="1" x14ac:dyDescent="0.25">
      <c r="A2" s="12">
        <v>25</v>
      </c>
      <c r="B2" s="12">
        <v>0.3</v>
      </c>
      <c r="C2" s="12">
        <v>901</v>
      </c>
      <c r="D2" s="13">
        <v>30</v>
      </c>
      <c r="F2" s="2"/>
      <c r="G2" s="4" t="s">
        <v>4</v>
      </c>
      <c r="H2" s="4" t="s">
        <v>5</v>
      </c>
      <c r="J2" s="9" t="s">
        <v>7</v>
      </c>
      <c r="K2" s="9">
        <f>SLOPE(C:C,A:A)</f>
        <v>31.479330952839113</v>
      </c>
      <c r="L2" s="9">
        <f t="shared" ref="L2:L65" si="0">IF((D2^2+(B2*$K$2)^2)&gt;0,1/(D2^2+(B2*$K$2)^2),"#N/A")</f>
        <v>1.010932890487856E-3</v>
      </c>
      <c r="M2" s="9">
        <f>IF(B2*$K$2&gt;D2*10,1,0)</f>
        <v>0</v>
      </c>
      <c r="O2" s="9" t="s">
        <v>18</v>
      </c>
      <c r="P2" s="9">
        <f>MIN(A:A)</f>
        <v>1</v>
      </c>
    </row>
    <row r="3" spans="1:16" x14ac:dyDescent="0.25">
      <c r="A3" s="12">
        <v>16</v>
      </c>
      <c r="B3" s="12">
        <v>0.3</v>
      </c>
      <c r="C3" s="12">
        <v>652</v>
      </c>
      <c r="D3" s="13">
        <v>25.5</v>
      </c>
      <c r="F3" s="5" t="s">
        <v>6</v>
      </c>
      <c r="G3" s="3">
        <f>(SUM(L:L)*SUMPRODUCT(C:C,A:A,L:L)-SUMPRODUCT(A:A,L:L)*SUMPRODUCT(C:C,L:L))/$K$3</f>
        <v>30.877824611948316</v>
      </c>
      <c r="H3" s="3">
        <f>(SUMPRODUCT(A:A,A:A,L:L)*SUMPRODUCT(C:C,L:L)-SUMPRODUCT(A:A,L:L)*SUMPRODUCT(A:A,C:C,L:L))/$K$3</f>
        <v>118.2570570455396</v>
      </c>
      <c r="J3" s="9" t="s">
        <v>13</v>
      </c>
      <c r="K3" s="9">
        <f>SUM(L:L)*SUMPRODUCT(L:L,A:A,A:A)-(SUMPRODUCT(L:L,A:A))^2</f>
        <v>2.0252722814342383E-2</v>
      </c>
      <c r="L3" s="9">
        <f t="shared" si="0"/>
        <v>1.3523832838497234E-3</v>
      </c>
      <c r="M3" s="9">
        <f t="shared" ref="M3:M66" si="1">IF(B3*$K$2&gt;D3*10,1,0)</f>
        <v>0</v>
      </c>
      <c r="O3" s="9" t="s">
        <v>19</v>
      </c>
      <c r="P3" s="9">
        <f>MAX(A:A)</f>
        <v>25</v>
      </c>
    </row>
    <row r="4" spans="1:16" x14ac:dyDescent="0.25">
      <c r="A4" s="12">
        <v>11.11</v>
      </c>
      <c r="B4" s="12">
        <v>0.3</v>
      </c>
      <c r="C4" s="12">
        <v>443</v>
      </c>
      <c r="D4" s="13">
        <v>21</v>
      </c>
      <c r="F4" s="5" t="s">
        <v>9</v>
      </c>
      <c r="G4" s="3">
        <f>SQRT(SUM(L:L)/K3)</f>
        <v>1.1349762965117007</v>
      </c>
      <c r="H4" s="3">
        <f>SQRT(SUMPRODUCT(A:A,A:A,L:L)/K3)</f>
        <v>8.9628025807649561</v>
      </c>
      <c r="L4" s="9">
        <f t="shared" si="0"/>
        <v>1.8861328581075069E-3</v>
      </c>
      <c r="M4" s="9">
        <f t="shared" si="1"/>
        <v>0</v>
      </c>
      <c r="O4" s="9" t="s">
        <v>20</v>
      </c>
      <c r="P4" s="9">
        <f>$G$3*P2+$H$3</f>
        <v>149.13488165748791</v>
      </c>
    </row>
    <row r="5" spans="1:16" x14ac:dyDescent="0.25">
      <c r="A5" s="12">
        <v>8.16</v>
      </c>
      <c r="B5" s="12">
        <v>0.3</v>
      </c>
      <c r="C5" s="12">
        <v>339</v>
      </c>
      <c r="D5" s="13">
        <v>18.399999999999999</v>
      </c>
      <c r="F5" s="14" t="s">
        <v>16</v>
      </c>
      <c r="G5" s="7" t="str">
        <f>IF(SUM(M:M)&gt;0,"WARNING: large uncertainty in x. Consider swapping x and y.",IF(COUNTA(L:L)&lt;COUNTA(A:A),"WARNING: you must unprotect the sheet and then extend columns L and M to at least the length of the data array.","OK"))</f>
        <v>OK</v>
      </c>
      <c r="L5" s="9">
        <f t="shared" si="0"/>
        <v>2.3378395856382575E-3</v>
      </c>
      <c r="M5" s="9">
        <f t="shared" si="1"/>
        <v>0</v>
      </c>
      <c r="O5" s="9" t="s">
        <v>21</v>
      </c>
      <c r="P5" s="9">
        <f>$G$3*P3+$H$3</f>
        <v>890.2026723442475</v>
      </c>
    </row>
    <row r="6" spans="1:16" x14ac:dyDescent="0.25">
      <c r="A6" s="12">
        <v>6.25</v>
      </c>
      <c r="B6" s="12">
        <v>0.3</v>
      </c>
      <c r="C6" s="12">
        <v>283</v>
      </c>
      <c r="D6" s="13">
        <v>16.8</v>
      </c>
      <c r="I6" s="7"/>
      <c r="L6" s="9">
        <f t="shared" si="0"/>
        <v>2.6923310796970589E-3</v>
      </c>
      <c r="M6" s="9">
        <f t="shared" si="1"/>
        <v>0</v>
      </c>
    </row>
    <row r="7" spans="1:16" x14ac:dyDescent="0.25">
      <c r="A7" s="12">
        <v>4.9400000000000004</v>
      </c>
      <c r="B7" s="12">
        <v>0.3</v>
      </c>
      <c r="C7" s="12">
        <v>281</v>
      </c>
      <c r="D7" s="13">
        <v>16.8</v>
      </c>
      <c r="F7" s="10"/>
      <c r="G7" s="10"/>
      <c r="H7" s="7"/>
      <c r="I7" s="7"/>
      <c r="L7" s="9">
        <f t="shared" si="0"/>
        <v>2.6923310796970589E-3</v>
      </c>
      <c r="M7" s="9">
        <f t="shared" si="1"/>
        <v>0</v>
      </c>
    </row>
    <row r="8" spans="1:16" x14ac:dyDescent="0.25">
      <c r="A8" s="12">
        <v>4</v>
      </c>
      <c r="B8" s="12">
        <v>0.3</v>
      </c>
      <c r="C8" s="12">
        <v>240</v>
      </c>
      <c r="D8" s="13">
        <v>15.5</v>
      </c>
      <c r="F8" s="7"/>
      <c r="G8" s="7"/>
      <c r="H8" s="7"/>
      <c r="I8" s="7"/>
      <c r="L8" s="9">
        <f t="shared" si="0"/>
        <v>3.0354969960717545E-3</v>
      </c>
      <c r="M8" s="9">
        <f t="shared" si="1"/>
        <v>0</v>
      </c>
    </row>
    <row r="9" spans="1:16" x14ac:dyDescent="0.25">
      <c r="A9" s="12">
        <v>2.78</v>
      </c>
      <c r="B9" s="12">
        <v>0.3</v>
      </c>
      <c r="C9" s="12">
        <v>220</v>
      </c>
      <c r="D9" s="13">
        <v>14.8</v>
      </c>
      <c r="F9" s="7"/>
      <c r="G9" s="7"/>
      <c r="H9" s="7"/>
      <c r="I9" s="7"/>
      <c r="L9" s="9">
        <f t="shared" si="0"/>
        <v>3.2443795306888292E-3</v>
      </c>
      <c r="M9" s="9">
        <f t="shared" si="1"/>
        <v>0</v>
      </c>
    </row>
    <row r="10" spans="1:16" x14ac:dyDescent="0.25">
      <c r="A10" s="12">
        <v>1.78</v>
      </c>
      <c r="B10" s="12">
        <v>0.3</v>
      </c>
      <c r="C10" s="12">
        <v>180</v>
      </c>
      <c r="D10" s="13">
        <v>13.4</v>
      </c>
      <c r="F10" s="1"/>
      <c r="L10" s="9">
        <f t="shared" si="0"/>
        <v>3.7209946843196127E-3</v>
      </c>
      <c r="M10" s="9">
        <f t="shared" si="1"/>
        <v>0</v>
      </c>
    </row>
    <row r="11" spans="1:16" x14ac:dyDescent="0.25">
      <c r="A11" s="12">
        <v>1</v>
      </c>
      <c r="B11" s="12">
        <v>0.3</v>
      </c>
      <c r="C11" s="12">
        <v>154</v>
      </c>
      <c r="D11" s="13">
        <v>12.4</v>
      </c>
      <c r="L11" s="9">
        <f t="shared" si="0"/>
        <v>4.1161521337230141E-3</v>
      </c>
      <c r="M11" s="9">
        <f t="shared" si="1"/>
        <v>0</v>
      </c>
    </row>
    <row r="12" spans="1:16" x14ac:dyDescent="0.25">
      <c r="L12" s="9" t="str">
        <f t="shared" si="0"/>
        <v>#N/A</v>
      </c>
      <c r="M12" s="9">
        <f t="shared" si="1"/>
        <v>0</v>
      </c>
    </row>
    <row r="13" spans="1:16" x14ac:dyDescent="0.25">
      <c r="L13" s="9" t="str">
        <f t="shared" si="0"/>
        <v>#N/A</v>
      </c>
      <c r="M13" s="9">
        <f t="shared" si="1"/>
        <v>0</v>
      </c>
    </row>
    <row r="14" spans="1:16" x14ac:dyDescent="0.25">
      <c r="L14" s="9" t="str">
        <f t="shared" si="0"/>
        <v>#N/A</v>
      </c>
      <c r="M14" s="9">
        <f t="shared" si="1"/>
        <v>0</v>
      </c>
    </row>
    <row r="15" spans="1:16" x14ac:dyDescent="0.25">
      <c r="L15" s="9" t="str">
        <f t="shared" si="0"/>
        <v>#N/A</v>
      </c>
      <c r="M15" s="9">
        <f t="shared" si="1"/>
        <v>0</v>
      </c>
    </row>
    <row r="16" spans="1:16" x14ac:dyDescent="0.25">
      <c r="L16" s="9" t="str">
        <f t="shared" si="0"/>
        <v>#N/A</v>
      </c>
      <c r="M16" s="9">
        <f t="shared" si="1"/>
        <v>0</v>
      </c>
    </row>
    <row r="17" spans="12:13" x14ac:dyDescent="0.25">
      <c r="L17" s="9" t="str">
        <f t="shared" si="0"/>
        <v>#N/A</v>
      </c>
      <c r="M17" s="9">
        <f t="shared" si="1"/>
        <v>0</v>
      </c>
    </row>
    <row r="18" spans="12:13" x14ac:dyDescent="0.25">
      <c r="L18" s="9" t="str">
        <f t="shared" si="0"/>
        <v>#N/A</v>
      </c>
      <c r="M18" s="9">
        <f t="shared" si="1"/>
        <v>0</v>
      </c>
    </row>
    <row r="19" spans="12:13" x14ac:dyDescent="0.25">
      <c r="L19" s="9" t="str">
        <f t="shared" si="0"/>
        <v>#N/A</v>
      </c>
      <c r="M19" s="9">
        <f t="shared" si="1"/>
        <v>0</v>
      </c>
    </row>
    <row r="20" spans="12:13" x14ac:dyDescent="0.25">
      <c r="L20" s="9" t="str">
        <f t="shared" si="0"/>
        <v>#N/A</v>
      </c>
      <c r="M20" s="9">
        <f t="shared" si="1"/>
        <v>0</v>
      </c>
    </row>
    <row r="21" spans="12:13" x14ac:dyDescent="0.25">
      <c r="L21" s="9" t="str">
        <f t="shared" si="0"/>
        <v>#N/A</v>
      </c>
      <c r="M21" s="9">
        <f t="shared" si="1"/>
        <v>0</v>
      </c>
    </row>
    <row r="22" spans="12:13" x14ac:dyDescent="0.25">
      <c r="L22" s="9" t="str">
        <f t="shared" si="0"/>
        <v>#N/A</v>
      </c>
      <c r="M22" s="9">
        <f t="shared" si="1"/>
        <v>0</v>
      </c>
    </row>
    <row r="23" spans="12:13" x14ac:dyDescent="0.25">
      <c r="L23" s="9" t="str">
        <f t="shared" si="0"/>
        <v>#N/A</v>
      </c>
      <c r="M23" s="9">
        <f t="shared" si="1"/>
        <v>0</v>
      </c>
    </row>
    <row r="24" spans="12:13" x14ac:dyDescent="0.25">
      <c r="L24" s="9" t="str">
        <f t="shared" si="0"/>
        <v>#N/A</v>
      </c>
      <c r="M24" s="9">
        <f t="shared" si="1"/>
        <v>0</v>
      </c>
    </row>
    <row r="25" spans="12:13" x14ac:dyDescent="0.25">
      <c r="L25" s="9" t="str">
        <f t="shared" si="0"/>
        <v>#N/A</v>
      </c>
      <c r="M25" s="9">
        <f t="shared" si="1"/>
        <v>0</v>
      </c>
    </row>
    <row r="26" spans="12:13" x14ac:dyDescent="0.25">
      <c r="L26" s="9" t="str">
        <f t="shared" si="0"/>
        <v>#N/A</v>
      </c>
      <c r="M26" s="9">
        <f t="shared" si="1"/>
        <v>0</v>
      </c>
    </row>
    <row r="27" spans="12:13" x14ac:dyDescent="0.25">
      <c r="L27" s="9" t="str">
        <f t="shared" si="0"/>
        <v>#N/A</v>
      </c>
      <c r="M27" s="9">
        <f t="shared" si="1"/>
        <v>0</v>
      </c>
    </row>
    <row r="28" spans="12:13" x14ac:dyDescent="0.25">
      <c r="L28" s="9" t="str">
        <f t="shared" si="0"/>
        <v>#N/A</v>
      </c>
      <c r="M28" s="9">
        <f t="shared" si="1"/>
        <v>0</v>
      </c>
    </row>
    <row r="29" spans="12:13" x14ac:dyDescent="0.25">
      <c r="L29" s="9" t="str">
        <f t="shared" si="0"/>
        <v>#N/A</v>
      </c>
      <c r="M29" s="9">
        <f t="shared" si="1"/>
        <v>0</v>
      </c>
    </row>
    <row r="30" spans="12:13" x14ac:dyDescent="0.25">
      <c r="L30" s="9" t="str">
        <f t="shared" si="0"/>
        <v>#N/A</v>
      </c>
      <c r="M30" s="9">
        <f t="shared" si="1"/>
        <v>0</v>
      </c>
    </row>
    <row r="31" spans="12:13" x14ac:dyDescent="0.25">
      <c r="L31" s="9" t="str">
        <f t="shared" si="0"/>
        <v>#N/A</v>
      </c>
      <c r="M31" s="9">
        <f t="shared" si="1"/>
        <v>0</v>
      </c>
    </row>
    <row r="32" spans="12:13" x14ac:dyDescent="0.25">
      <c r="L32" s="9" t="str">
        <f t="shared" si="0"/>
        <v>#N/A</v>
      </c>
      <c r="M32" s="9">
        <f t="shared" si="1"/>
        <v>0</v>
      </c>
    </row>
    <row r="33" spans="12:13" x14ac:dyDescent="0.25">
      <c r="L33" s="9" t="str">
        <f t="shared" si="0"/>
        <v>#N/A</v>
      </c>
      <c r="M33" s="9">
        <f t="shared" si="1"/>
        <v>0</v>
      </c>
    </row>
    <row r="34" spans="12:13" x14ac:dyDescent="0.25">
      <c r="L34" s="9" t="str">
        <f t="shared" si="0"/>
        <v>#N/A</v>
      </c>
      <c r="M34" s="9">
        <f t="shared" si="1"/>
        <v>0</v>
      </c>
    </row>
    <row r="35" spans="12:13" x14ac:dyDescent="0.25">
      <c r="L35" s="9" t="str">
        <f t="shared" si="0"/>
        <v>#N/A</v>
      </c>
      <c r="M35" s="9">
        <f t="shared" si="1"/>
        <v>0</v>
      </c>
    </row>
    <row r="36" spans="12:13" x14ac:dyDescent="0.25">
      <c r="L36" s="9" t="str">
        <f t="shared" si="0"/>
        <v>#N/A</v>
      </c>
      <c r="M36" s="9">
        <f t="shared" si="1"/>
        <v>0</v>
      </c>
    </row>
    <row r="37" spans="12:13" x14ac:dyDescent="0.25">
      <c r="L37" s="9" t="str">
        <f t="shared" si="0"/>
        <v>#N/A</v>
      </c>
      <c r="M37" s="9">
        <f t="shared" si="1"/>
        <v>0</v>
      </c>
    </row>
    <row r="38" spans="12:13" x14ac:dyDescent="0.25">
      <c r="L38" s="9" t="str">
        <f t="shared" si="0"/>
        <v>#N/A</v>
      </c>
      <c r="M38" s="9">
        <f t="shared" si="1"/>
        <v>0</v>
      </c>
    </row>
    <row r="39" spans="12:13" x14ac:dyDescent="0.25">
      <c r="L39" s="9" t="str">
        <f t="shared" si="0"/>
        <v>#N/A</v>
      </c>
      <c r="M39" s="9">
        <f t="shared" si="1"/>
        <v>0</v>
      </c>
    </row>
    <row r="40" spans="12:13" x14ac:dyDescent="0.25">
      <c r="L40" s="9" t="str">
        <f t="shared" si="0"/>
        <v>#N/A</v>
      </c>
      <c r="M40" s="9">
        <f t="shared" si="1"/>
        <v>0</v>
      </c>
    </row>
    <row r="41" spans="12:13" x14ac:dyDescent="0.25">
      <c r="L41" s="9" t="str">
        <f t="shared" si="0"/>
        <v>#N/A</v>
      </c>
      <c r="M41" s="9">
        <f t="shared" si="1"/>
        <v>0</v>
      </c>
    </row>
    <row r="42" spans="12:13" x14ac:dyDescent="0.25">
      <c r="L42" s="9" t="str">
        <f t="shared" si="0"/>
        <v>#N/A</v>
      </c>
      <c r="M42" s="9">
        <f t="shared" si="1"/>
        <v>0</v>
      </c>
    </row>
    <row r="43" spans="12:13" x14ac:dyDescent="0.25">
      <c r="L43" s="9" t="str">
        <f t="shared" si="0"/>
        <v>#N/A</v>
      </c>
      <c r="M43" s="9">
        <f t="shared" si="1"/>
        <v>0</v>
      </c>
    </row>
    <row r="44" spans="12:13" x14ac:dyDescent="0.25">
      <c r="L44" s="9" t="str">
        <f t="shared" si="0"/>
        <v>#N/A</v>
      </c>
      <c r="M44" s="9">
        <f t="shared" si="1"/>
        <v>0</v>
      </c>
    </row>
    <row r="45" spans="12:13" x14ac:dyDescent="0.25">
      <c r="L45" s="9" t="str">
        <f t="shared" si="0"/>
        <v>#N/A</v>
      </c>
      <c r="M45" s="9">
        <f t="shared" si="1"/>
        <v>0</v>
      </c>
    </row>
    <row r="46" spans="12:13" x14ac:dyDescent="0.25">
      <c r="L46" s="9" t="str">
        <f t="shared" si="0"/>
        <v>#N/A</v>
      </c>
      <c r="M46" s="9">
        <f t="shared" si="1"/>
        <v>0</v>
      </c>
    </row>
    <row r="47" spans="12:13" x14ac:dyDescent="0.25">
      <c r="L47" s="9" t="str">
        <f t="shared" si="0"/>
        <v>#N/A</v>
      </c>
      <c r="M47" s="9">
        <f t="shared" si="1"/>
        <v>0</v>
      </c>
    </row>
    <row r="48" spans="12:13" x14ac:dyDescent="0.25">
      <c r="L48" s="9" t="str">
        <f t="shared" si="0"/>
        <v>#N/A</v>
      </c>
      <c r="M48" s="9">
        <f t="shared" si="1"/>
        <v>0</v>
      </c>
    </row>
    <row r="49" spans="12:13" x14ac:dyDescent="0.25">
      <c r="L49" s="9" t="str">
        <f t="shared" si="0"/>
        <v>#N/A</v>
      </c>
      <c r="M49" s="9">
        <f t="shared" si="1"/>
        <v>0</v>
      </c>
    </row>
    <row r="50" spans="12:13" x14ac:dyDescent="0.25">
      <c r="L50" s="9" t="str">
        <f t="shared" si="0"/>
        <v>#N/A</v>
      </c>
      <c r="M50" s="9">
        <f t="shared" si="1"/>
        <v>0</v>
      </c>
    </row>
    <row r="51" spans="12:13" x14ac:dyDescent="0.25">
      <c r="L51" s="9" t="str">
        <f t="shared" si="0"/>
        <v>#N/A</v>
      </c>
      <c r="M51" s="9">
        <f t="shared" si="1"/>
        <v>0</v>
      </c>
    </row>
    <row r="52" spans="12:13" x14ac:dyDescent="0.25">
      <c r="L52" s="9" t="str">
        <f t="shared" si="0"/>
        <v>#N/A</v>
      </c>
      <c r="M52" s="9">
        <f t="shared" si="1"/>
        <v>0</v>
      </c>
    </row>
    <row r="53" spans="12:13" x14ac:dyDescent="0.25">
      <c r="L53" s="9" t="str">
        <f t="shared" si="0"/>
        <v>#N/A</v>
      </c>
      <c r="M53" s="9">
        <f t="shared" si="1"/>
        <v>0</v>
      </c>
    </row>
    <row r="54" spans="12:13" x14ac:dyDescent="0.25">
      <c r="L54" s="9" t="str">
        <f t="shared" si="0"/>
        <v>#N/A</v>
      </c>
      <c r="M54" s="9">
        <f t="shared" si="1"/>
        <v>0</v>
      </c>
    </row>
    <row r="55" spans="12:13" x14ac:dyDescent="0.25">
      <c r="L55" s="9" t="str">
        <f t="shared" si="0"/>
        <v>#N/A</v>
      </c>
      <c r="M55" s="9">
        <f t="shared" si="1"/>
        <v>0</v>
      </c>
    </row>
    <row r="56" spans="12:13" x14ac:dyDescent="0.25">
      <c r="L56" s="9" t="str">
        <f t="shared" si="0"/>
        <v>#N/A</v>
      </c>
      <c r="M56" s="9">
        <f t="shared" si="1"/>
        <v>0</v>
      </c>
    </row>
    <row r="57" spans="12:13" x14ac:dyDescent="0.25">
      <c r="L57" s="9" t="str">
        <f t="shared" si="0"/>
        <v>#N/A</v>
      </c>
      <c r="M57" s="9">
        <f t="shared" si="1"/>
        <v>0</v>
      </c>
    </row>
    <row r="58" spans="12:13" x14ac:dyDescent="0.25">
      <c r="L58" s="9" t="str">
        <f t="shared" si="0"/>
        <v>#N/A</v>
      </c>
      <c r="M58" s="9">
        <f t="shared" si="1"/>
        <v>0</v>
      </c>
    </row>
    <row r="59" spans="12:13" x14ac:dyDescent="0.25">
      <c r="L59" s="9" t="str">
        <f t="shared" si="0"/>
        <v>#N/A</v>
      </c>
      <c r="M59" s="9">
        <f t="shared" si="1"/>
        <v>0</v>
      </c>
    </row>
    <row r="60" spans="12:13" x14ac:dyDescent="0.25">
      <c r="L60" s="9" t="str">
        <f t="shared" si="0"/>
        <v>#N/A</v>
      </c>
      <c r="M60" s="9">
        <f t="shared" si="1"/>
        <v>0</v>
      </c>
    </row>
    <row r="61" spans="12:13" x14ac:dyDescent="0.25">
      <c r="L61" s="9" t="str">
        <f t="shared" si="0"/>
        <v>#N/A</v>
      </c>
      <c r="M61" s="9">
        <f t="shared" si="1"/>
        <v>0</v>
      </c>
    </row>
    <row r="62" spans="12:13" x14ac:dyDescent="0.25">
      <c r="L62" s="9" t="str">
        <f t="shared" si="0"/>
        <v>#N/A</v>
      </c>
      <c r="M62" s="9">
        <f t="shared" si="1"/>
        <v>0</v>
      </c>
    </row>
    <row r="63" spans="12:13" x14ac:dyDescent="0.25">
      <c r="L63" s="9" t="str">
        <f t="shared" si="0"/>
        <v>#N/A</v>
      </c>
      <c r="M63" s="9">
        <f t="shared" si="1"/>
        <v>0</v>
      </c>
    </row>
    <row r="64" spans="12:13" x14ac:dyDescent="0.25">
      <c r="L64" s="9" t="str">
        <f t="shared" si="0"/>
        <v>#N/A</v>
      </c>
      <c r="M64" s="9">
        <f t="shared" si="1"/>
        <v>0</v>
      </c>
    </row>
    <row r="65" spans="12:13" x14ac:dyDescent="0.25">
      <c r="L65" s="9" t="str">
        <f t="shared" si="0"/>
        <v>#N/A</v>
      </c>
      <c r="M65" s="9">
        <f t="shared" si="1"/>
        <v>0</v>
      </c>
    </row>
    <row r="66" spans="12:13" x14ac:dyDescent="0.25">
      <c r="L66" s="9" t="str">
        <f t="shared" ref="L66:L129" si="2">IF((D66^2+(B66*$K$2)^2)&gt;0,1/(D66^2+(B66*$K$2)^2),"#N/A")</f>
        <v>#N/A</v>
      </c>
      <c r="M66" s="9">
        <f t="shared" si="1"/>
        <v>0</v>
      </c>
    </row>
    <row r="67" spans="12:13" x14ac:dyDescent="0.25">
      <c r="L67" s="9" t="str">
        <f t="shared" si="2"/>
        <v>#N/A</v>
      </c>
      <c r="M67" s="9">
        <f t="shared" ref="M67:M130" si="3">IF(B67*$K$2&gt;D67*10,1,0)</f>
        <v>0</v>
      </c>
    </row>
    <row r="68" spans="12:13" x14ac:dyDescent="0.25">
      <c r="L68" s="9" t="str">
        <f t="shared" si="2"/>
        <v>#N/A</v>
      </c>
      <c r="M68" s="9">
        <f t="shared" si="3"/>
        <v>0</v>
      </c>
    </row>
    <row r="69" spans="12:13" x14ac:dyDescent="0.25">
      <c r="L69" s="9" t="str">
        <f t="shared" si="2"/>
        <v>#N/A</v>
      </c>
      <c r="M69" s="9">
        <f t="shared" si="3"/>
        <v>0</v>
      </c>
    </row>
    <row r="70" spans="12:13" x14ac:dyDescent="0.25">
      <c r="L70" s="9" t="str">
        <f t="shared" si="2"/>
        <v>#N/A</v>
      </c>
      <c r="M70" s="9">
        <f t="shared" si="3"/>
        <v>0</v>
      </c>
    </row>
    <row r="71" spans="12:13" x14ac:dyDescent="0.25">
      <c r="L71" s="9" t="str">
        <f t="shared" si="2"/>
        <v>#N/A</v>
      </c>
      <c r="M71" s="9">
        <f t="shared" si="3"/>
        <v>0</v>
      </c>
    </row>
    <row r="72" spans="12:13" x14ac:dyDescent="0.25">
      <c r="L72" s="9" t="str">
        <f t="shared" si="2"/>
        <v>#N/A</v>
      </c>
      <c r="M72" s="9">
        <f t="shared" si="3"/>
        <v>0</v>
      </c>
    </row>
    <row r="73" spans="12:13" x14ac:dyDescent="0.25">
      <c r="L73" s="9" t="str">
        <f t="shared" si="2"/>
        <v>#N/A</v>
      </c>
      <c r="M73" s="9">
        <f t="shared" si="3"/>
        <v>0</v>
      </c>
    </row>
    <row r="74" spans="12:13" x14ac:dyDescent="0.25">
      <c r="L74" s="9" t="str">
        <f t="shared" si="2"/>
        <v>#N/A</v>
      </c>
      <c r="M74" s="9">
        <f t="shared" si="3"/>
        <v>0</v>
      </c>
    </row>
    <row r="75" spans="12:13" x14ac:dyDescent="0.25">
      <c r="L75" s="9" t="str">
        <f t="shared" si="2"/>
        <v>#N/A</v>
      </c>
      <c r="M75" s="9">
        <f t="shared" si="3"/>
        <v>0</v>
      </c>
    </row>
    <row r="76" spans="12:13" x14ac:dyDescent="0.25">
      <c r="L76" s="9" t="str">
        <f t="shared" si="2"/>
        <v>#N/A</v>
      </c>
      <c r="M76" s="9">
        <f t="shared" si="3"/>
        <v>0</v>
      </c>
    </row>
    <row r="77" spans="12:13" x14ac:dyDescent="0.25">
      <c r="L77" s="9" t="str">
        <f t="shared" si="2"/>
        <v>#N/A</v>
      </c>
      <c r="M77" s="9">
        <f t="shared" si="3"/>
        <v>0</v>
      </c>
    </row>
    <row r="78" spans="12:13" x14ac:dyDescent="0.25">
      <c r="L78" s="9" t="str">
        <f t="shared" si="2"/>
        <v>#N/A</v>
      </c>
      <c r="M78" s="9">
        <f t="shared" si="3"/>
        <v>0</v>
      </c>
    </row>
    <row r="79" spans="12:13" x14ac:dyDescent="0.25">
      <c r="L79" s="9" t="str">
        <f t="shared" si="2"/>
        <v>#N/A</v>
      </c>
      <c r="M79" s="9">
        <f t="shared" si="3"/>
        <v>0</v>
      </c>
    </row>
    <row r="80" spans="12:13" x14ac:dyDescent="0.25">
      <c r="L80" s="9" t="str">
        <f t="shared" si="2"/>
        <v>#N/A</v>
      </c>
      <c r="M80" s="9">
        <f t="shared" si="3"/>
        <v>0</v>
      </c>
    </row>
    <row r="81" spans="12:13" x14ac:dyDescent="0.25">
      <c r="L81" s="9" t="str">
        <f t="shared" si="2"/>
        <v>#N/A</v>
      </c>
      <c r="M81" s="9">
        <f t="shared" si="3"/>
        <v>0</v>
      </c>
    </row>
    <row r="82" spans="12:13" x14ac:dyDescent="0.25">
      <c r="L82" s="9" t="str">
        <f t="shared" si="2"/>
        <v>#N/A</v>
      </c>
      <c r="M82" s="9">
        <f t="shared" si="3"/>
        <v>0</v>
      </c>
    </row>
    <row r="83" spans="12:13" x14ac:dyDescent="0.25">
      <c r="L83" s="9" t="str">
        <f t="shared" si="2"/>
        <v>#N/A</v>
      </c>
      <c r="M83" s="9">
        <f t="shared" si="3"/>
        <v>0</v>
      </c>
    </row>
    <row r="84" spans="12:13" x14ac:dyDescent="0.25">
      <c r="L84" s="9" t="str">
        <f t="shared" si="2"/>
        <v>#N/A</v>
      </c>
      <c r="M84" s="9">
        <f t="shared" si="3"/>
        <v>0</v>
      </c>
    </row>
    <row r="85" spans="12:13" x14ac:dyDescent="0.25">
      <c r="L85" s="9" t="str">
        <f t="shared" si="2"/>
        <v>#N/A</v>
      </c>
      <c r="M85" s="9">
        <f t="shared" si="3"/>
        <v>0</v>
      </c>
    </row>
    <row r="86" spans="12:13" x14ac:dyDescent="0.25">
      <c r="L86" s="9" t="str">
        <f t="shared" si="2"/>
        <v>#N/A</v>
      </c>
      <c r="M86" s="9">
        <f t="shared" si="3"/>
        <v>0</v>
      </c>
    </row>
    <row r="87" spans="12:13" x14ac:dyDescent="0.25">
      <c r="L87" s="9" t="str">
        <f t="shared" si="2"/>
        <v>#N/A</v>
      </c>
      <c r="M87" s="9">
        <f t="shared" si="3"/>
        <v>0</v>
      </c>
    </row>
    <row r="88" spans="12:13" x14ac:dyDescent="0.25">
      <c r="L88" s="9" t="str">
        <f t="shared" si="2"/>
        <v>#N/A</v>
      </c>
      <c r="M88" s="9">
        <f t="shared" si="3"/>
        <v>0</v>
      </c>
    </row>
    <row r="89" spans="12:13" x14ac:dyDescent="0.25">
      <c r="L89" s="9" t="str">
        <f t="shared" si="2"/>
        <v>#N/A</v>
      </c>
      <c r="M89" s="9">
        <f t="shared" si="3"/>
        <v>0</v>
      </c>
    </row>
    <row r="90" spans="12:13" x14ac:dyDescent="0.25">
      <c r="L90" s="9" t="str">
        <f t="shared" si="2"/>
        <v>#N/A</v>
      </c>
      <c r="M90" s="9">
        <f t="shared" si="3"/>
        <v>0</v>
      </c>
    </row>
    <row r="91" spans="12:13" x14ac:dyDescent="0.25">
      <c r="L91" s="9" t="str">
        <f t="shared" si="2"/>
        <v>#N/A</v>
      </c>
      <c r="M91" s="9">
        <f t="shared" si="3"/>
        <v>0</v>
      </c>
    </row>
    <row r="92" spans="12:13" x14ac:dyDescent="0.25">
      <c r="L92" s="9" t="str">
        <f t="shared" si="2"/>
        <v>#N/A</v>
      </c>
      <c r="M92" s="9">
        <f t="shared" si="3"/>
        <v>0</v>
      </c>
    </row>
    <row r="93" spans="12:13" x14ac:dyDescent="0.25">
      <c r="L93" s="9" t="str">
        <f t="shared" si="2"/>
        <v>#N/A</v>
      </c>
      <c r="M93" s="9">
        <f t="shared" si="3"/>
        <v>0</v>
      </c>
    </row>
    <row r="94" spans="12:13" x14ac:dyDescent="0.25">
      <c r="L94" s="9" t="str">
        <f t="shared" si="2"/>
        <v>#N/A</v>
      </c>
      <c r="M94" s="9">
        <f t="shared" si="3"/>
        <v>0</v>
      </c>
    </row>
    <row r="95" spans="12:13" x14ac:dyDescent="0.25">
      <c r="L95" s="9" t="str">
        <f t="shared" si="2"/>
        <v>#N/A</v>
      </c>
      <c r="M95" s="9">
        <f t="shared" si="3"/>
        <v>0</v>
      </c>
    </row>
    <row r="96" spans="12:13" x14ac:dyDescent="0.25">
      <c r="L96" s="9" t="str">
        <f t="shared" si="2"/>
        <v>#N/A</v>
      </c>
      <c r="M96" s="9">
        <f t="shared" si="3"/>
        <v>0</v>
      </c>
    </row>
    <row r="97" spans="12:13" x14ac:dyDescent="0.25">
      <c r="L97" s="9" t="str">
        <f t="shared" si="2"/>
        <v>#N/A</v>
      </c>
      <c r="M97" s="9">
        <f t="shared" si="3"/>
        <v>0</v>
      </c>
    </row>
    <row r="98" spans="12:13" x14ac:dyDescent="0.25">
      <c r="L98" s="9" t="str">
        <f t="shared" si="2"/>
        <v>#N/A</v>
      </c>
      <c r="M98" s="9">
        <f t="shared" si="3"/>
        <v>0</v>
      </c>
    </row>
    <row r="99" spans="12:13" x14ac:dyDescent="0.25">
      <c r="L99" s="9" t="str">
        <f t="shared" si="2"/>
        <v>#N/A</v>
      </c>
      <c r="M99" s="9">
        <f t="shared" si="3"/>
        <v>0</v>
      </c>
    </row>
    <row r="100" spans="12:13" x14ac:dyDescent="0.25">
      <c r="L100" s="9" t="str">
        <f t="shared" si="2"/>
        <v>#N/A</v>
      </c>
      <c r="M100" s="9">
        <f t="shared" si="3"/>
        <v>0</v>
      </c>
    </row>
    <row r="101" spans="12:13" x14ac:dyDescent="0.25">
      <c r="L101" s="9" t="str">
        <f t="shared" si="2"/>
        <v>#N/A</v>
      </c>
      <c r="M101" s="9">
        <f t="shared" si="3"/>
        <v>0</v>
      </c>
    </row>
    <row r="102" spans="12:13" x14ac:dyDescent="0.25">
      <c r="L102" s="9" t="str">
        <f t="shared" si="2"/>
        <v>#N/A</v>
      </c>
      <c r="M102" s="9">
        <f t="shared" si="3"/>
        <v>0</v>
      </c>
    </row>
    <row r="103" spans="12:13" x14ac:dyDescent="0.25">
      <c r="L103" s="9" t="str">
        <f t="shared" si="2"/>
        <v>#N/A</v>
      </c>
      <c r="M103" s="9">
        <f t="shared" si="3"/>
        <v>0</v>
      </c>
    </row>
    <row r="104" spans="12:13" x14ac:dyDescent="0.25">
      <c r="L104" s="9" t="str">
        <f t="shared" si="2"/>
        <v>#N/A</v>
      </c>
      <c r="M104" s="9">
        <f t="shared" si="3"/>
        <v>0</v>
      </c>
    </row>
    <row r="105" spans="12:13" x14ac:dyDescent="0.25">
      <c r="L105" s="9" t="str">
        <f t="shared" si="2"/>
        <v>#N/A</v>
      </c>
      <c r="M105" s="9">
        <f t="shared" si="3"/>
        <v>0</v>
      </c>
    </row>
    <row r="106" spans="12:13" x14ac:dyDescent="0.25">
      <c r="L106" s="9" t="str">
        <f t="shared" si="2"/>
        <v>#N/A</v>
      </c>
      <c r="M106" s="9">
        <f t="shared" si="3"/>
        <v>0</v>
      </c>
    </row>
    <row r="107" spans="12:13" x14ac:dyDescent="0.25">
      <c r="L107" s="9" t="str">
        <f t="shared" si="2"/>
        <v>#N/A</v>
      </c>
      <c r="M107" s="9">
        <f t="shared" si="3"/>
        <v>0</v>
      </c>
    </row>
    <row r="108" spans="12:13" x14ac:dyDescent="0.25">
      <c r="L108" s="9" t="str">
        <f t="shared" si="2"/>
        <v>#N/A</v>
      </c>
      <c r="M108" s="9">
        <f t="shared" si="3"/>
        <v>0</v>
      </c>
    </row>
    <row r="109" spans="12:13" x14ac:dyDescent="0.25">
      <c r="L109" s="9" t="str">
        <f t="shared" si="2"/>
        <v>#N/A</v>
      </c>
      <c r="M109" s="9">
        <f t="shared" si="3"/>
        <v>0</v>
      </c>
    </row>
    <row r="110" spans="12:13" x14ac:dyDescent="0.25">
      <c r="L110" s="9" t="str">
        <f t="shared" si="2"/>
        <v>#N/A</v>
      </c>
      <c r="M110" s="9">
        <f t="shared" si="3"/>
        <v>0</v>
      </c>
    </row>
    <row r="111" spans="12:13" x14ac:dyDescent="0.25">
      <c r="L111" s="9" t="str">
        <f t="shared" si="2"/>
        <v>#N/A</v>
      </c>
      <c r="M111" s="9">
        <f t="shared" si="3"/>
        <v>0</v>
      </c>
    </row>
    <row r="112" spans="12:13" x14ac:dyDescent="0.25">
      <c r="L112" s="9" t="str">
        <f t="shared" si="2"/>
        <v>#N/A</v>
      </c>
      <c r="M112" s="9">
        <f t="shared" si="3"/>
        <v>0</v>
      </c>
    </row>
    <row r="113" spans="12:13" x14ac:dyDescent="0.25">
      <c r="L113" s="9" t="str">
        <f t="shared" si="2"/>
        <v>#N/A</v>
      </c>
      <c r="M113" s="9">
        <f t="shared" si="3"/>
        <v>0</v>
      </c>
    </row>
    <row r="114" spans="12:13" x14ac:dyDescent="0.25">
      <c r="L114" s="9" t="str">
        <f t="shared" si="2"/>
        <v>#N/A</v>
      </c>
      <c r="M114" s="9">
        <f t="shared" si="3"/>
        <v>0</v>
      </c>
    </row>
    <row r="115" spans="12:13" x14ac:dyDescent="0.25">
      <c r="L115" s="9" t="str">
        <f t="shared" si="2"/>
        <v>#N/A</v>
      </c>
      <c r="M115" s="9">
        <f t="shared" si="3"/>
        <v>0</v>
      </c>
    </row>
    <row r="116" spans="12:13" x14ac:dyDescent="0.25">
      <c r="L116" s="9" t="str">
        <f t="shared" si="2"/>
        <v>#N/A</v>
      </c>
      <c r="M116" s="9">
        <f t="shared" si="3"/>
        <v>0</v>
      </c>
    </row>
    <row r="117" spans="12:13" x14ac:dyDescent="0.25">
      <c r="L117" s="9" t="str">
        <f t="shared" si="2"/>
        <v>#N/A</v>
      </c>
      <c r="M117" s="9">
        <f t="shared" si="3"/>
        <v>0</v>
      </c>
    </row>
    <row r="118" spans="12:13" x14ac:dyDescent="0.25">
      <c r="L118" s="9" t="str">
        <f t="shared" si="2"/>
        <v>#N/A</v>
      </c>
      <c r="M118" s="9">
        <f t="shared" si="3"/>
        <v>0</v>
      </c>
    </row>
    <row r="119" spans="12:13" x14ac:dyDescent="0.25">
      <c r="L119" s="9" t="str">
        <f t="shared" si="2"/>
        <v>#N/A</v>
      </c>
      <c r="M119" s="9">
        <f t="shared" si="3"/>
        <v>0</v>
      </c>
    </row>
    <row r="120" spans="12:13" x14ac:dyDescent="0.25">
      <c r="L120" s="9" t="str">
        <f t="shared" si="2"/>
        <v>#N/A</v>
      </c>
      <c r="M120" s="9">
        <f t="shared" si="3"/>
        <v>0</v>
      </c>
    </row>
    <row r="121" spans="12:13" x14ac:dyDescent="0.25">
      <c r="L121" s="9" t="str">
        <f t="shared" si="2"/>
        <v>#N/A</v>
      </c>
      <c r="M121" s="9">
        <f t="shared" si="3"/>
        <v>0</v>
      </c>
    </row>
    <row r="122" spans="12:13" x14ac:dyDescent="0.25">
      <c r="L122" s="9" t="str">
        <f t="shared" si="2"/>
        <v>#N/A</v>
      </c>
      <c r="M122" s="9">
        <f t="shared" si="3"/>
        <v>0</v>
      </c>
    </row>
    <row r="123" spans="12:13" x14ac:dyDescent="0.25">
      <c r="L123" s="9" t="str">
        <f t="shared" si="2"/>
        <v>#N/A</v>
      </c>
      <c r="M123" s="9">
        <f t="shared" si="3"/>
        <v>0</v>
      </c>
    </row>
    <row r="124" spans="12:13" x14ac:dyDescent="0.25">
      <c r="L124" s="9" t="str">
        <f t="shared" si="2"/>
        <v>#N/A</v>
      </c>
      <c r="M124" s="9">
        <f t="shared" si="3"/>
        <v>0</v>
      </c>
    </row>
    <row r="125" spans="12:13" x14ac:dyDescent="0.25">
      <c r="L125" s="9" t="str">
        <f t="shared" si="2"/>
        <v>#N/A</v>
      </c>
      <c r="M125" s="9">
        <f t="shared" si="3"/>
        <v>0</v>
      </c>
    </row>
    <row r="126" spans="12:13" x14ac:dyDescent="0.25">
      <c r="L126" s="9" t="str">
        <f t="shared" si="2"/>
        <v>#N/A</v>
      </c>
      <c r="M126" s="9">
        <f t="shared" si="3"/>
        <v>0</v>
      </c>
    </row>
    <row r="127" spans="12:13" x14ac:dyDescent="0.25">
      <c r="L127" s="9" t="str">
        <f t="shared" si="2"/>
        <v>#N/A</v>
      </c>
      <c r="M127" s="9">
        <f t="shared" si="3"/>
        <v>0</v>
      </c>
    </row>
    <row r="128" spans="12:13" x14ac:dyDescent="0.25">
      <c r="L128" s="9" t="str">
        <f t="shared" si="2"/>
        <v>#N/A</v>
      </c>
      <c r="M128" s="9">
        <f t="shared" si="3"/>
        <v>0</v>
      </c>
    </row>
    <row r="129" spans="12:13" x14ac:dyDescent="0.25">
      <c r="L129" s="9" t="str">
        <f t="shared" si="2"/>
        <v>#N/A</v>
      </c>
      <c r="M129" s="9">
        <f t="shared" si="3"/>
        <v>0</v>
      </c>
    </row>
    <row r="130" spans="12:13" x14ac:dyDescent="0.25">
      <c r="L130" s="9" t="str">
        <f t="shared" ref="L130:L193" si="4">IF((D130^2+(B130*$K$2)^2)&gt;0,1/(D130^2+(B130*$K$2)^2),"#N/A")</f>
        <v>#N/A</v>
      </c>
      <c r="M130" s="9">
        <f t="shared" si="3"/>
        <v>0</v>
      </c>
    </row>
    <row r="131" spans="12:13" x14ac:dyDescent="0.25">
      <c r="L131" s="9" t="str">
        <f t="shared" si="4"/>
        <v>#N/A</v>
      </c>
      <c r="M131" s="9">
        <f t="shared" ref="M131:M194" si="5">IF(B131*$K$2&gt;D131*10,1,0)</f>
        <v>0</v>
      </c>
    </row>
    <row r="132" spans="12:13" x14ac:dyDescent="0.25">
      <c r="L132" s="9" t="str">
        <f t="shared" si="4"/>
        <v>#N/A</v>
      </c>
      <c r="M132" s="9">
        <f t="shared" si="5"/>
        <v>0</v>
      </c>
    </row>
    <row r="133" spans="12:13" x14ac:dyDescent="0.25">
      <c r="L133" s="9" t="str">
        <f t="shared" si="4"/>
        <v>#N/A</v>
      </c>
      <c r="M133" s="9">
        <f t="shared" si="5"/>
        <v>0</v>
      </c>
    </row>
    <row r="134" spans="12:13" x14ac:dyDescent="0.25">
      <c r="L134" s="9" t="str">
        <f t="shared" si="4"/>
        <v>#N/A</v>
      </c>
      <c r="M134" s="9">
        <f t="shared" si="5"/>
        <v>0</v>
      </c>
    </row>
    <row r="135" spans="12:13" x14ac:dyDescent="0.25">
      <c r="L135" s="9" t="str">
        <f t="shared" si="4"/>
        <v>#N/A</v>
      </c>
      <c r="M135" s="9">
        <f t="shared" si="5"/>
        <v>0</v>
      </c>
    </row>
    <row r="136" spans="12:13" x14ac:dyDescent="0.25">
      <c r="L136" s="9" t="str">
        <f t="shared" si="4"/>
        <v>#N/A</v>
      </c>
      <c r="M136" s="9">
        <f t="shared" si="5"/>
        <v>0</v>
      </c>
    </row>
    <row r="137" spans="12:13" x14ac:dyDescent="0.25">
      <c r="L137" s="9" t="str">
        <f t="shared" si="4"/>
        <v>#N/A</v>
      </c>
      <c r="M137" s="9">
        <f t="shared" si="5"/>
        <v>0</v>
      </c>
    </row>
    <row r="138" spans="12:13" x14ac:dyDescent="0.25">
      <c r="L138" s="9" t="str">
        <f t="shared" si="4"/>
        <v>#N/A</v>
      </c>
      <c r="M138" s="9">
        <f t="shared" si="5"/>
        <v>0</v>
      </c>
    </row>
    <row r="139" spans="12:13" x14ac:dyDescent="0.25">
      <c r="L139" s="9" t="str">
        <f t="shared" si="4"/>
        <v>#N/A</v>
      </c>
      <c r="M139" s="9">
        <f t="shared" si="5"/>
        <v>0</v>
      </c>
    </row>
    <row r="140" spans="12:13" x14ac:dyDescent="0.25">
      <c r="L140" s="9" t="str">
        <f t="shared" si="4"/>
        <v>#N/A</v>
      </c>
      <c r="M140" s="9">
        <f t="shared" si="5"/>
        <v>0</v>
      </c>
    </row>
    <row r="141" spans="12:13" x14ac:dyDescent="0.25">
      <c r="L141" s="9" t="str">
        <f t="shared" si="4"/>
        <v>#N/A</v>
      </c>
      <c r="M141" s="9">
        <f t="shared" si="5"/>
        <v>0</v>
      </c>
    </row>
    <row r="142" spans="12:13" x14ac:dyDescent="0.25">
      <c r="L142" s="9" t="str">
        <f t="shared" si="4"/>
        <v>#N/A</v>
      </c>
      <c r="M142" s="9">
        <f t="shared" si="5"/>
        <v>0</v>
      </c>
    </row>
    <row r="143" spans="12:13" x14ac:dyDescent="0.25">
      <c r="L143" s="9" t="str">
        <f t="shared" si="4"/>
        <v>#N/A</v>
      </c>
      <c r="M143" s="9">
        <f t="shared" si="5"/>
        <v>0</v>
      </c>
    </row>
    <row r="144" spans="12:13" x14ac:dyDescent="0.25">
      <c r="L144" s="9" t="str">
        <f t="shared" si="4"/>
        <v>#N/A</v>
      </c>
      <c r="M144" s="9">
        <f t="shared" si="5"/>
        <v>0</v>
      </c>
    </row>
    <row r="145" spans="12:13" x14ac:dyDescent="0.25">
      <c r="L145" s="9" t="str">
        <f t="shared" si="4"/>
        <v>#N/A</v>
      </c>
      <c r="M145" s="9">
        <f t="shared" si="5"/>
        <v>0</v>
      </c>
    </row>
    <row r="146" spans="12:13" x14ac:dyDescent="0.25">
      <c r="L146" s="9" t="str">
        <f t="shared" si="4"/>
        <v>#N/A</v>
      </c>
      <c r="M146" s="9">
        <f t="shared" si="5"/>
        <v>0</v>
      </c>
    </row>
    <row r="147" spans="12:13" x14ac:dyDescent="0.25">
      <c r="L147" s="9" t="str">
        <f t="shared" si="4"/>
        <v>#N/A</v>
      </c>
      <c r="M147" s="9">
        <f t="shared" si="5"/>
        <v>0</v>
      </c>
    </row>
    <row r="148" spans="12:13" x14ac:dyDescent="0.25">
      <c r="L148" s="9" t="str">
        <f t="shared" si="4"/>
        <v>#N/A</v>
      </c>
      <c r="M148" s="9">
        <f t="shared" si="5"/>
        <v>0</v>
      </c>
    </row>
    <row r="149" spans="12:13" x14ac:dyDescent="0.25">
      <c r="L149" s="9" t="str">
        <f t="shared" si="4"/>
        <v>#N/A</v>
      </c>
      <c r="M149" s="9">
        <f t="shared" si="5"/>
        <v>0</v>
      </c>
    </row>
    <row r="150" spans="12:13" x14ac:dyDescent="0.25">
      <c r="L150" s="9" t="str">
        <f t="shared" si="4"/>
        <v>#N/A</v>
      </c>
      <c r="M150" s="9">
        <f t="shared" si="5"/>
        <v>0</v>
      </c>
    </row>
    <row r="151" spans="12:13" x14ac:dyDescent="0.25">
      <c r="L151" s="9" t="str">
        <f t="shared" si="4"/>
        <v>#N/A</v>
      </c>
      <c r="M151" s="9">
        <f t="shared" si="5"/>
        <v>0</v>
      </c>
    </row>
    <row r="152" spans="12:13" x14ac:dyDescent="0.25">
      <c r="L152" s="9" t="str">
        <f t="shared" si="4"/>
        <v>#N/A</v>
      </c>
      <c r="M152" s="9">
        <f t="shared" si="5"/>
        <v>0</v>
      </c>
    </row>
    <row r="153" spans="12:13" x14ac:dyDescent="0.25">
      <c r="L153" s="9" t="str">
        <f t="shared" si="4"/>
        <v>#N/A</v>
      </c>
      <c r="M153" s="9">
        <f t="shared" si="5"/>
        <v>0</v>
      </c>
    </row>
    <row r="154" spans="12:13" x14ac:dyDescent="0.25">
      <c r="L154" s="9" t="str">
        <f t="shared" si="4"/>
        <v>#N/A</v>
      </c>
      <c r="M154" s="9">
        <f t="shared" si="5"/>
        <v>0</v>
      </c>
    </row>
    <row r="155" spans="12:13" x14ac:dyDescent="0.25">
      <c r="L155" s="9" t="str">
        <f t="shared" si="4"/>
        <v>#N/A</v>
      </c>
      <c r="M155" s="9">
        <f t="shared" si="5"/>
        <v>0</v>
      </c>
    </row>
    <row r="156" spans="12:13" x14ac:dyDescent="0.25">
      <c r="L156" s="9" t="str">
        <f t="shared" si="4"/>
        <v>#N/A</v>
      </c>
      <c r="M156" s="9">
        <f t="shared" si="5"/>
        <v>0</v>
      </c>
    </row>
    <row r="157" spans="12:13" x14ac:dyDescent="0.25">
      <c r="L157" s="9" t="str">
        <f t="shared" si="4"/>
        <v>#N/A</v>
      </c>
      <c r="M157" s="9">
        <f t="shared" si="5"/>
        <v>0</v>
      </c>
    </row>
    <row r="158" spans="12:13" x14ac:dyDescent="0.25">
      <c r="L158" s="9" t="str">
        <f t="shared" si="4"/>
        <v>#N/A</v>
      </c>
      <c r="M158" s="9">
        <f t="shared" si="5"/>
        <v>0</v>
      </c>
    </row>
    <row r="159" spans="12:13" x14ac:dyDescent="0.25">
      <c r="L159" s="9" t="str">
        <f t="shared" si="4"/>
        <v>#N/A</v>
      </c>
      <c r="M159" s="9">
        <f t="shared" si="5"/>
        <v>0</v>
      </c>
    </row>
    <row r="160" spans="12:13" x14ac:dyDescent="0.25">
      <c r="L160" s="9" t="str">
        <f t="shared" si="4"/>
        <v>#N/A</v>
      </c>
      <c r="M160" s="9">
        <f t="shared" si="5"/>
        <v>0</v>
      </c>
    </row>
    <row r="161" spans="12:13" x14ac:dyDescent="0.25">
      <c r="L161" s="9" t="str">
        <f t="shared" si="4"/>
        <v>#N/A</v>
      </c>
      <c r="M161" s="9">
        <f t="shared" si="5"/>
        <v>0</v>
      </c>
    </row>
    <row r="162" spans="12:13" x14ac:dyDescent="0.25">
      <c r="L162" s="9" t="str">
        <f t="shared" si="4"/>
        <v>#N/A</v>
      </c>
      <c r="M162" s="9">
        <f t="shared" si="5"/>
        <v>0</v>
      </c>
    </row>
    <row r="163" spans="12:13" x14ac:dyDescent="0.25">
      <c r="L163" s="9" t="str">
        <f t="shared" si="4"/>
        <v>#N/A</v>
      </c>
      <c r="M163" s="9">
        <f t="shared" si="5"/>
        <v>0</v>
      </c>
    </row>
    <row r="164" spans="12:13" x14ac:dyDescent="0.25">
      <c r="L164" s="9" t="str">
        <f t="shared" si="4"/>
        <v>#N/A</v>
      </c>
      <c r="M164" s="9">
        <f t="shared" si="5"/>
        <v>0</v>
      </c>
    </row>
    <row r="165" spans="12:13" x14ac:dyDescent="0.25">
      <c r="L165" s="9" t="str">
        <f t="shared" si="4"/>
        <v>#N/A</v>
      </c>
      <c r="M165" s="9">
        <f t="shared" si="5"/>
        <v>0</v>
      </c>
    </row>
    <row r="166" spans="12:13" x14ac:dyDescent="0.25">
      <c r="L166" s="9" t="str">
        <f t="shared" si="4"/>
        <v>#N/A</v>
      </c>
      <c r="M166" s="9">
        <f t="shared" si="5"/>
        <v>0</v>
      </c>
    </row>
    <row r="167" spans="12:13" x14ac:dyDescent="0.25">
      <c r="L167" s="9" t="str">
        <f t="shared" si="4"/>
        <v>#N/A</v>
      </c>
      <c r="M167" s="9">
        <f t="shared" si="5"/>
        <v>0</v>
      </c>
    </row>
    <row r="168" spans="12:13" x14ac:dyDescent="0.25">
      <c r="L168" s="9" t="str">
        <f t="shared" si="4"/>
        <v>#N/A</v>
      </c>
      <c r="M168" s="9">
        <f t="shared" si="5"/>
        <v>0</v>
      </c>
    </row>
    <row r="169" spans="12:13" x14ac:dyDescent="0.25">
      <c r="L169" s="9" t="str">
        <f t="shared" si="4"/>
        <v>#N/A</v>
      </c>
      <c r="M169" s="9">
        <f t="shared" si="5"/>
        <v>0</v>
      </c>
    </row>
    <row r="170" spans="12:13" x14ac:dyDescent="0.25">
      <c r="L170" s="9" t="str">
        <f t="shared" si="4"/>
        <v>#N/A</v>
      </c>
      <c r="M170" s="9">
        <f t="shared" si="5"/>
        <v>0</v>
      </c>
    </row>
    <row r="171" spans="12:13" x14ac:dyDescent="0.25">
      <c r="L171" s="9" t="str">
        <f t="shared" si="4"/>
        <v>#N/A</v>
      </c>
      <c r="M171" s="9">
        <f t="shared" si="5"/>
        <v>0</v>
      </c>
    </row>
    <row r="172" spans="12:13" x14ac:dyDescent="0.25">
      <c r="L172" s="9" t="str">
        <f t="shared" si="4"/>
        <v>#N/A</v>
      </c>
      <c r="M172" s="9">
        <f t="shared" si="5"/>
        <v>0</v>
      </c>
    </row>
    <row r="173" spans="12:13" x14ac:dyDescent="0.25">
      <c r="L173" s="9" t="str">
        <f t="shared" si="4"/>
        <v>#N/A</v>
      </c>
      <c r="M173" s="9">
        <f t="shared" si="5"/>
        <v>0</v>
      </c>
    </row>
    <row r="174" spans="12:13" x14ac:dyDescent="0.25">
      <c r="L174" s="9" t="str">
        <f t="shared" si="4"/>
        <v>#N/A</v>
      </c>
      <c r="M174" s="9">
        <f t="shared" si="5"/>
        <v>0</v>
      </c>
    </row>
    <row r="175" spans="12:13" x14ac:dyDescent="0.25">
      <c r="L175" s="9" t="str">
        <f t="shared" si="4"/>
        <v>#N/A</v>
      </c>
      <c r="M175" s="9">
        <f t="shared" si="5"/>
        <v>0</v>
      </c>
    </row>
    <row r="176" spans="12:13" x14ac:dyDescent="0.25">
      <c r="L176" s="9" t="str">
        <f t="shared" si="4"/>
        <v>#N/A</v>
      </c>
      <c r="M176" s="9">
        <f t="shared" si="5"/>
        <v>0</v>
      </c>
    </row>
    <row r="177" spans="12:13" x14ac:dyDescent="0.25">
      <c r="L177" s="9" t="str">
        <f t="shared" si="4"/>
        <v>#N/A</v>
      </c>
      <c r="M177" s="9">
        <f t="shared" si="5"/>
        <v>0</v>
      </c>
    </row>
    <row r="178" spans="12:13" x14ac:dyDescent="0.25">
      <c r="L178" s="9" t="str">
        <f t="shared" si="4"/>
        <v>#N/A</v>
      </c>
      <c r="M178" s="9">
        <f t="shared" si="5"/>
        <v>0</v>
      </c>
    </row>
    <row r="179" spans="12:13" x14ac:dyDescent="0.25">
      <c r="L179" s="9" t="str">
        <f t="shared" si="4"/>
        <v>#N/A</v>
      </c>
      <c r="M179" s="9">
        <f t="shared" si="5"/>
        <v>0</v>
      </c>
    </row>
    <row r="180" spans="12:13" x14ac:dyDescent="0.25">
      <c r="L180" s="9" t="str">
        <f t="shared" si="4"/>
        <v>#N/A</v>
      </c>
      <c r="M180" s="9">
        <f t="shared" si="5"/>
        <v>0</v>
      </c>
    </row>
    <row r="181" spans="12:13" x14ac:dyDescent="0.25">
      <c r="L181" s="9" t="str">
        <f t="shared" si="4"/>
        <v>#N/A</v>
      </c>
      <c r="M181" s="9">
        <f t="shared" si="5"/>
        <v>0</v>
      </c>
    </row>
    <row r="182" spans="12:13" x14ac:dyDescent="0.25">
      <c r="L182" s="9" t="str">
        <f t="shared" si="4"/>
        <v>#N/A</v>
      </c>
      <c r="M182" s="9">
        <f t="shared" si="5"/>
        <v>0</v>
      </c>
    </row>
    <row r="183" spans="12:13" x14ac:dyDescent="0.25">
      <c r="L183" s="9" t="str">
        <f t="shared" si="4"/>
        <v>#N/A</v>
      </c>
      <c r="M183" s="9">
        <f t="shared" si="5"/>
        <v>0</v>
      </c>
    </row>
    <row r="184" spans="12:13" x14ac:dyDescent="0.25">
      <c r="L184" s="9" t="str">
        <f t="shared" si="4"/>
        <v>#N/A</v>
      </c>
      <c r="M184" s="9">
        <f t="shared" si="5"/>
        <v>0</v>
      </c>
    </row>
    <row r="185" spans="12:13" x14ac:dyDescent="0.25">
      <c r="L185" s="9" t="str">
        <f t="shared" si="4"/>
        <v>#N/A</v>
      </c>
      <c r="M185" s="9">
        <f t="shared" si="5"/>
        <v>0</v>
      </c>
    </row>
    <row r="186" spans="12:13" x14ac:dyDescent="0.25">
      <c r="L186" s="9" t="str">
        <f t="shared" si="4"/>
        <v>#N/A</v>
      </c>
      <c r="M186" s="9">
        <f t="shared" si="5"/>
        <v>0</v>
      </c>
    </row>
    <row r="187" spans="12:13" x14ac:dyDescent="0.25">
      <c r="L187" s="9" t="str">
        <f t="shared" si="4"/>
        <v>#N/A</v>
      </c>
      <c r="M187" s="9">
        <f t="shared" si="5"/>
        <v>0</v>
      </c>
    </row>
    <row r="188" spans="12:13" x14ac:dyDescent="0.25">
      <c r="L188" s="9" t="str">
        <f t="shared" si="4"/>
        <v>#N/A</v>
      </c>
      <c r="M188" s="9">
        <f t="shared" si="5"/>
        <v>0</v>
      </c>
    </row>
    <row r="189" spans="12:13" x14ac:dyDescent="0.25">
      <c r="L189" s="9" t="str">
        <f t="shared" si="4"/>
        <v>#N/A</v>
      </c>
      <c r="M189" s="9">
        <f t="shared" si="5"/>
        <v>0</v>
      </c>
    </row>
    <row r="190" spans="12:13" x14ac:dyDescent="0.25">
      <c r="L190" s="9" t="str">
        <f t="shared" si="4"/>
        <v>#N/A</v>
      </c>
      <c r="M190" s="9">
        <f t="shared" si="5"/>
        <v>0</v>
      </c>
    </row>
    <row r="191" spans="12:13" x14ac:dyDescent="0.25">
      <c r="L191" s="9" t="str">
        <f t="shared" si="4"/>
        <v>#N/A</v>
      </c>
      <c r="M191" s="9">
        <f t="shared" si="5"/>
        <v>0</v>
      </c>
    </row>
    <row r="192" spans="12:13" x14ac:dyDescent="0.25">
      <c r="L192" s="9" t="str">
        <f t="shared" si="4"/>
        <v>#N/A</v>
      </c>
      <c r="M192" s="9">
        <f t="shared" si="5"/>
        <v>0</v>
      </c>
    </row>
    <row r="193" spans="12:13" x14ac:dyDescent="0.25">
      <c r="L193" s="9" t="str">
        <f t="shared" si="4"/>
        <v>#N/A</v>
      </c>
      <c r="M193" s="9">
        <f t="shared" si="5"/>
        <v>0</v>
      </c>
    </row>
    <row r="194" spans="12:13" x14ac:dyDescent="0.25">
      <c r="L194" s="9" t="str">
        <f t="shared" ref="L194:L257" si="6">IF((D194^2+(B194*$K$2)^2)&gt;0,1/(D194^2+(B194*$K$2)^2),"#N/A")</f>
        <v>#N/A</v>
      </c>
      <c r="M194" s="9">
        <f t="shared" si="5"/>
        <v>0</v>
      </c>
    </row>
    <row r="195" spans="12:13" x14ac:dyDescent="0.25">
      <c r="L195" s="9" t="str">
        <f t="shared" si="6"/>
        <v>#N/A</v>
      </c>
      <c r="M195" s="9">
        <f t="shared" ref="M195:M258" si="7">IF(B195*$K$2&gt;D195*10,1,0)</f>
        <v>0</v>
      </c>
    </row>
    <row r="196" spans="12:13" x14ac:dyDescent="0.25">
      <c r="L196" s="9" t="str">
        <f t="shared" si="6"/>
        <v>#N/A</v>
      </c>
      <c r="M196" s="9">
        <f t="shared" si="7"/>
        <v>0</v>
      </c>
    </row>
    <row r="197" spans="12:13" x14ac:dyDescent="0.25">
      <c r="L197" s="9" t="str">
        <f t="shared" si="6"/>
        <v>#N/A</v>
      </c>
      <c r="M197" s="9">
        <f t="shared" si="7"/>
        <v>0</v>
      </c>
    </row>
    <row r="198" spans="12:13" x14ac:dyDescent="0.25">
      <c r="L198" s="9" t="str">
        <f t="shared" si="6"/>
        <v>#N/A</v>
      </c>
      <c r="M198" s="9">
        <f t="shared" si="7"/>
        <v>0</v>
      </c>
    </row>
    <row r="199" spans="12:13" x14ac:dyDescent="0.25">
      <c r="L199" s="9" t="str">
        <f t="shared" si="6"/>
        <v>#N/A</v>
      </c>
      <c r="M199" s="9">
        <f t="shared" si="7"/>
        <v>0</v>
      </c>
    </row>
    <row r="200" spans="12:13" x14ac:dyDescent="0.25">
      <c r="L200" s="9" t="str">
        <f t="shared" si="6"/>
        <v>#N/A</v>
      </c>
      <c r="M200" s="9">
        <f t="shared" si="7"/>
        <v>0</v>
      </c>
    </row>
    <row r="201" spans="12:13" x14ac:dyDescent="0.25">
      <c r="L201" s="9" t="str">
        <f t="shared" si="6"/>
        <v>#N/A</v>
      </c>
      <c r="M201" s="9">
        <f t="shared" si="7"/>
        <v>0</v>
      </c>
    </row>
    <row r="202" spans="12:13" x14ac:dyDescent="0.25">
      <c r="L202" s="9" t="str">
        <f t="shared" si="6"/>
        <v>#N/A</v>
      </c>
      <c r="M202" s="9">
        <f t="shared" si="7"/>
        <v>0</v>
      </c>
    </row>
    <row r="203" spans="12:13" x14ac:dyDescent="0.25">
      <c r="L203" s="9" t="str">
        <f t="shared" si="6"/>
        <v>#N/A</v>
      </c>
      <c r="M203" s="9">
        <f t="shared" si="7"/>
        <v>0</v>
      </c>
    </row>
    <row r="204" spans="12:13" x14ac:dyDescent="0.25">
      <c r="L204" s="9" t="str">
        <f t="shared" si="6"/>
        <v>#N/A</v>
      </c>
      <c r="M204" s="9">
        <f t="shared" si="7"/>
        <v>0</v>
      </c>
    </row>
    <row r="205" spans="12:13" x14ac:dyDescent="0.25">
      <c r="L205" s="9" t="str">
        <f t="shared" si="6"/>
        <v>#N/A</v>
      </c>
      <c r="M205" s="9">
        <f t="shared" si="7"/>
        <v>0</v>
      </c>
    </row>
    <row r="206" spans="12:13" x14ac:dyDescent="0.25">
      <c r="L206" s="9" t="str">
        <f t="shared" si="6"/>
        <v>#N/A</v>
      </c>
      <c r="M206" s="9">
        <f t="shared" si="7"/>
        <v>0</v>
      </c>
    </row>
    <row r="207" spans="12:13" x14ac:dyDescent="0.25">
      <c r="L207" s="9" t="str">
        <f t="shared" si="6"/>
        <v>#N/A</v>
      </c>
      <c r="M207" s="9">
        <f t="shared" si="7"/>
        <v>0</v>
      </c>
    </row>
    <row r="208" spans="12:13" x14ac:dyDescent="0.25">
      <c r="L208" s="9" t="str">
        <f t="shared" si="6"/>
        <v>#N/A</v>
      </c>
      <c r="M208" s="9">
        <f t="shared" si="7"/>
        <v>0</v>
      </c>
    </row>
    <row r="209" spans="12:13" x14ac:dyDescent="0.25">
      <c r="L209" s="9" t="str">
        <f t="shared" si="6"/>
        <v>#N/A</v>
      </c>
      <c r="M209" s="9">
        <f t="shared" si="7"/>
        <v>0</v>
      </c>
    </row>
    <row r="210" spans="12:13" x14ac:dyDescent="0.25">
      <c r="L210" s="9" t="str">
        <f t="shared" si="6"/>
        <v>#N/A</v>
      </c>
      <c r="M210" s="9">
        <f t="shared" si="7"/>
        <v>0</v>
      </c>
    </row>
    <row r="211" spans="12:13" x14ac:dyDescent="0.25">
      <c r="L211" s="9" t="str">
        <f t="shared" si="6"/>
        <v>#N/A</v>
      </c>
      <c r="M211" s="9">
        <f t="shared" si="7"/>
        <v>0</v>
      </c>
    </row>
    <row r="212" spans="12:13" x14ac:dyDescent="0.25">
      <c r="L212" s="9" t="str">
        <f t="shared" si="6"/>
        <v>#N/A</v>
      </c>
      <c r="M212" s="9">
        <f t="shared" si="7"/>
        <v>0</v>
      </c>
    </row>
    <row r="213" spans="12:13" x14ac:dyDescent="0.25">
      <c r="L213" s="9" t="str">
        <f t="shared" si="6"/>
        <v>#N/A</v>
      </c>
      <c r="M213" s="9">
        <f t="shared" si="7"/>
        <v>0</v>
      </c>
    </row>
    <row r="214" spans="12:13" x14ac:dyDescent="0.25">
      <c r="L214" s="9" t="str">
        <f t="shared" si="6"/>
        <v>#N/A</v>
      </c>
      <c r="M214" s="9">
        <f t="shared" si="7"/>
        <v>0</v>
      </c>
    </row>
    <row r="215" spans="12:13" x14ac:dyDescent="0.25">
      <c r="L215" s="9" t="str">
        <f t="shared" si="6"/>
        <v>#N/A</v>
      </c>
      <c r="M215" s="9">
        <f t="shared" si="7"/>
        <v>0</v>
      </c>
    </row>
    <row r="216" spans="12:13" x14ac:dyDescent="0.25">
      <c r="L216" s="9" t="str">
        <f t="shared" si="6"/>
        <v>#N/A</v>
      </c>
      <c r="M216" s="9">
        <f t="shared" si="7"/>
        <v>0</v>
      </c>
    </row>
    <row r="217" spans="12:13" x14ac:dyDescent="0.25">
      <c r="L217" s="9" t="str">
        <f t="shared" si="6"/>
        <v>#N/A</v>
      </c>
      <c r="M217" s="9">
        <f t="shared" si="7"/>
        <v>0</v>
      </c>
    </row>
    <row r="218" spans="12:13" x14ac:dyDescent="0.25">
      <c r="L218" s="9" t="str">
        <f t="shared" si="6"/>
        <v>#N/A</v>
      </c>
      <c r="M218" s="9">
        <f t="shared" si="7"/>
        <v>0</v>
      </c>
    </row>
    <row r="219" spans="12:13" x14ac:dyDescent="0.25">
      <c r="L219" s="9" t="str">
        <f t="shared" si="6"/>
        <v>#N/A</v>
      </c>
      <c r="M219" s="9">
        <f t="shared" si="7"/>
        <v>0</v>
      </c>
    </row>
    <row r="220" spans="12:13" x14ac:dyDescent="0.25">
      <c r="L220" s="9" t="str">
        <f t="shared" si="6"/>
        <v>#N/A</v>
      </c>
      <c r="M220" s="9">
        <f t="shared" si="7"/>
        <v>0</v>
      </c>
    </row>
    <row r="221" spans="12:13" x14ac:dyDescent="0.25">
      <c r="L221" s="9" t="str">
        <f t="shared" si="6"/>
        <v>#N/A</v>
      </c>
      <c r="M221" s="9">
        <f t="shared" si="7"/>
        <v>0</v>
      </c>
    </row>
    <row r="222" spans="12:13" x14ac:dyDescent="0.25">
      <c r="L222" s="9" t="str">
        <f t="shared" si="6"/>
        <v>#N/A</v>
      </c>
      <c r="M222" s="9">
        <f t="shared" si="7"/>
        <v>0</v>
      </c>
    </row>
    <row r="223" spans="12:13" x14ac:dyDescent="0.25">
      <c r="L223" s="9" t="str">
        <f t="shared" si="6"/>
        <v>#N/A</v>
      </c>
      <c r="M223" s="9">
        <f t="shared" si="7"/>
        <v>0</v>
      </c>
    </row>
    <row r="224" spans="12:13" x14ac:dyDescent="0.25">
      <c r="L224" s="9" t="str">
        <f t="shared" si="6"/>
        <v>#N/A</v>
      </c>
      <c r="M224" s="9">
        <f t="shared" si="7"/>
        <v>0</v>
      </c>
    </row>
    <row r="225" spans="12:13" x14ac:dyDescent="0.25">
      <c r="L225" s="9" t="str">
        <f t="shared" si="6"/>
        <v>#N/A</v>
      </c>
      <c r="M225" s="9">
        <f t="shared" si="7"/>
        <v>0</v>
      </c>
    </row>
    <row r="226" spans="12:13" x14ac:dyDescent="0.25">
      <c r="L226" s="9" t="str">
        <f t="shared" si="6"/>
        <v>#N/A</v>
      </c>
      <c r="M226" s="9">
        <f t="shared" si="7"/>
        <v>0</v>
      </c>
    </row>
    <row r="227" spans="12:13" x14ac:dyDescent="0.25">
      <c r="L227" s="9" t="str">
        <f t="shared" si="6"/>
        <v>#N/A</v>
      </c>
      <c r="M227" s="9">
        <f t="shared" si="7"/>
        <v>0</v>
      </c>
    </row>
    <row r="228" spans="12:13" x14ac:dyDescent="0.25">
      <c r="L228" s="9" t="str">
        <f t="shared" si="6"/>
        <v>#N/A</v>
      </c>
      <c r="M228" s="9">
        <f t="shared" si="7"/>
        <v>0</v>
      </c>
    </row>
    <row r="229" spans="12:13" x14ac:dyDescent="0.25">
      <c r="L229" s="9" t="str">
        <f t="shared" si="6"/>
        <v>#N/A</v>
      </c>
      <c r="M229" s="9">
        <f t="shared" si="7"/>
        <v>0</v>
      </c>
    </row>
    <row r="230" spans="12:13" x14ac:dyDescent="0.25">
      <c r="L230" s="9" t="str">
        <f t="shared" si="6"/>
        <v>#N/A</v>
      </c>
      <c r="M230" s="9">
        <f t="shared" si="7"/>
        <v>0</v>
      </c>
    </row>
    <row r="231" spans="12:13" x14ac:dyDescent="0.25">
      <c r="L231" s="9" t="str">
        <f t="shared" si="6"/>
        <v>#N/A</v>
      </c>
      <c r="M231" s="9">
        <f t="shared" si="7"/>
        <v>0</v>
      </c>
    </row>
    <row r="232" spans="12:13" x14ac:dyDescent="0.25">
      <c r="L232" s="9" t="str">
        <f t="shared" si="6"/>
        <v>#N/A</v>
      </c>
      <c r="M232" s="9">
        <f t="shared" si="7"/>
        <v>0</v>
      </c>
    </row>
    <row r="233" spans="12:13" x14ac:dyDescent="0.25">
      <c r="L233" s="9" t="str">
        <f t="shared" si="6"/>
        <v>#N/A</v>
      </c>
      <c r="M233" s="9">
        <f t="shared" si="7"/>
        <v>0</v>
      </c>
    </row>
    <row r="234" spans="12:13" x14ac:dyDescent="0.25">
      <c r="L234" s="9" t="str">
        <f t="shared" si="6"/>
        <v>#N/A</v>
      </c>
      <c r="M234" s="9">
        <f t="shared" si="7"/>
        <v>0</v>
      </c>
    </row>
    <row r="235" spans="12:13" x14ac:dyDescent="0.25">
      <c r="L235" s="9" t="str">
        <f t="shared" si="6"/>
        <v>#N/A</v>
      </c>
      <c r="M235" s="9">
        <f t="shared" si="7"/>
        <v>0</v>
      </c>
    </row>
    <row r="236" spans="12:13" x14ac:dyDescent="0.25">
      <c r="L236" s="9" t="str">
        <f t="shared" si="6"/>
        <v>#N/A</v>
      </c>
      <c r="M236" s="9">
        <f t="shared" si="7"/>
        <v>0</v>
      </c>
    </row>
    <row r="237" spans="12:13" x14ac:dyDescent="0.25">
      <c r="L237" s="9" t="str">
        <f t="shared" si="6"/>
        <v>#N/A</v>
      </c>
      <c r="M237" s="9">
        <f t="shared" si="7"/>
        <v>0</v>
      </c>
    </row>
    <row r="238" spans="12:13" x14ac:dyDescent="0.25">
      <c r="L238" s="9" t="str">
        <f t="shared" si="6"/>
        <v>#N/A</v>
      </c>
      <c r="M238" s="9">
        <f t="shared" si="7"/>
        <v>0</v>
      </c>
    </row>
    <row r="239" spans="12:13" x14ac:dyDescent="0.25">
      <c r="L239" s="9" t="str">
        <f t="shared" si="6"/>
        <v>#N/A</v>
      </c>
      <c r="M239" s="9">
        <f t="shared" si="7"/>
        <v>0</v>
      </c>
    </row>
    <row r="240" spans="12:13" x14ac:dyDescent="0.25">
      <c r="L240" s="9" t="str">
        <f t="shared" si="6"/>
        <v>#N/A</v>
      </c>
      <c r="M240" s="9">
        <f t="shared" si="7"/>
        <v>0</v>
      </c>
    </row>
    <row r="241" spans="12:13" x14ac:dyDescent="0.25">
      <c r="L241" s="9" t="str">
        <f t="shared" si="6"/>
        <v>#N/A</v>
      </c>
      <c r="M241" s="9">
        <f t="shared" si="7"/>
        <v>0</v>
      </c>
    </row>
    <row r="242" spans="12:13" x14ac:dyDescent="0.25">
      <c r="L242" s="9" t="str">
        <f t="shared" si="6"/>
        <v>#N/A</v>
      </c>
      <c r="M242" s="9">
        <f t="shared" si="7"/>
        <v>0</v>
      </c>
    </row>
    <row r="243" spans="12:13" x14ac:dyDescent="0.25">
      <c r="L243" s="9" t="str">
        <f t="shared" si="6"/>
        <v>#N/A</v>
      </c>
      <c r="M243" s="9">
        <f t="shared" si="7"/>
        <v>0</v>
      </c>
    </row>
    <row r="244" spans="12:13" x14ac:dyDescent="0.25">
      <c r="L244" s="9" t="str">
        <f t="shared" si="6"/>
        <v>#N/A</v>
      </c>
      <c r="M244" s="9">
        <f t="shared" si="7"/>
        <v>0</v>
      </c>
    </row>
    <row r="245" spans="12:13" x14ac:dyDescent="0.25">
      <c r="L245" s="9" t="str">
        <f t="shared" si="6"/>
        <v>#N/A</v>
      </c>
      <c r="M245" s="9">
        <f t="shared" si="7"/>
        <v>0</v>
      </c>
    </row>
    <row r="246" spans="12:13" x14ac:dyDescent="0.25">
      <c r="L246" s="9" t="str">
        <f t="shared" si="6"/>
        <v>#N/A</v>
      </c>
      <c r="M246" s="9">
        <f t="shared" si="7"/>
        <v>0</v>
      </c>
    </row>
    <row r="247" spans="12:13" x14ac:dyDescent="0.25">
      <c r="L247" s="9" t="str">
        <f t="shared" si="6"/>
        <v>#N/A</v>
      </c>
      <c r="M247" s="9">
        <f t="shared" si="7"/>
        <v>0</v>
      </c>
    </row>
    <row r="248" spans="12:13" x14ac:dyDescent="0.25">
      <c r="L248" s="9" t="str">
        <f t="shared" si="6"/>
        <v>#N/A</v>
      </c>
      <c r="M248" s="9">
        <f t="shared" si="7"/>
        <v>0</v>
      </c>
    </row>
    <row r="249" spans="12:13" x14ac:dyDescent="0.25">
      <c r="L249" s="9" t="str">
        <f t="shared" si="6"/>
        <v>#N/A</v>
      </c>
      <c r="M249" s="9">
        <f t="shared" si="7"/>
        <v>0</v>
      </c>
    </row>
    <row r="250" spans="12:13" x14ac:dyDescent="0.25">
      <c r="L250" s="9" t="str">
        <f t="shared" si="6"/>
        <v>#N/A</v>
      </c>
      <c r="M250" s="9">
        <f t="shared" si="7"/>
        <v>0</v>
      </c>
    </row>
    <row r="251" spans="12:13" x14ac:dyDescent="0.25">
      <c r="L251" s="9" t="str">
        <f t="shared" si="6"/>
        <v>#N/A</v>
      </c>
      <c r="M251" s="9">
        <f t="shared" si="7"/>
        <v>0</v>
      </c>
    </row>
    <row r="252" spans="12:13" x14ac:dyDescent="0.25">
      <c r="L252" s="9" t="str">
        <f t="shared" si="6"/>
        <v>#N/A</v>
      </c>
      <c r="M252" s="9">
        <f t="shared" si="7"/>
        <v>0</v>
      </c>
    </row>
    <row r="253" spans="12:13" x14ac:dyDescent="0.25">
      <c r="L253" s="9" t="str">
        <f t="shared" si="6"/>
        <v>#N/A</v>
      </c>
      <c r="M253" s="9">
        <f t="shared" si="7"/>
        <v>0</v>
      </c>
    </row>
    <row r="254" spans="12:13" x14ac:dyDescent="0.25">
      <c r="L254" s="9" t="str">
        <f t="shared" si="6"/>
        <v>#N/A</v>
      </c>
      <c r="M254" s="9">
        <f t="shared" si="7"/>
        <v>0</v>
      </c>
    </row>
    <row r="255" spans="12:13" x14ac:dyDescent="0.25">
      <c r="L255" s="9" t="str">
        <f t="shared" si="6"/>
        <v>#N/A</v>
      </c>
      <c r="M255" s="9">
        <f t="shared" si="7"/>
        <v>0</v>
      </c>
    </row>
    <row r="256" spans="12:13" x14ac:dyDescent="0.25">
      <c r="L256" s="9" t="str">
        <f t="shared" si="6"/>
        <v>#N/A</v>
      </c>
      <c r="M256" s="9">
        <f t="shared" si="7"/>
        <v>0</v>
      </c>
    </row>
    <row r="257" spans="12:13" x14ac:dyDescent="0.25">
      <c r="L257" s="9" t="str">
        <f t="shared" si="6"/>
        <v>#N/A</v>
      </c>
      <c r="M257" s="9">
        <f t="shared" si="7"/>
        <v>0</v>
      </c>
    </row>
    <row r="258" spans="12:13" x14ac:dyDescent="0.25">
      <c r="L258" s="9" t="str">
        <f t="shared" ref="L258:L321" si="8">IF((D258^2+(B258*$K$2)^2)&gt;0,1/(D258^2+(B258*$K$2)^2),"#N/A")</f>
        <v>#N/A</v>
      </c>
      <c r="M258" s="9">
        <f t="shared" si="7"/>
        <v>0</v>
      </c>
    </row>
    <row r="259" spans="12:13" x14ac:dyDescent="0.25">
      <c r="L259" s="9" t="str">
        <f t="shared" si="8"/>
        <v>#N/A</v>
      </c>
      <c r="M259" s="9">
        <f t="shared" ref="M259:M322" si="9">IF(B259*$K$2&gt;D259*10,1,0)</f>
        <v>0</v>
      </c>
    </row>
    <row r="260" spans="12:13" x14ac:dyDescent="0.25">
      <c r="L260" s="9" t="str">
        <f t="shared" si="8"/>
        <v>#N/A</v>
      </c>
      <c r="M260" s="9">
        <f t="shared" si="9"/>
        <v>0</v>
      </c>
    </row>
    <row r="261" spans="12:13" x14ac:dyDescent="0.25">
      <c r="L261" s="9" t="str">
        <f t="shared" si="8"/>
        <v>#N/A</v>
      </c>
      <c r="M261" s="9">
        <f t="shared" si="9"/>
        <v>0</v>
      </c>
    </row>
    <row r="262" spans="12:13" x14ac:dyDescent="0.25">
      <c r="L262" s="9" t="str">
        <f t="shared" si="8"/>
        <v>#N/A</v>
      </c>
      <c r="M262" s="9">
        <f t="shared" si="9"/>
        <v>0</v>
      </c>
    </row>
    <row r="263" spans="12:13" x14ac:dyDescent="0.25">
      <c r="L263" s="9" t="str">
        <f t="shared" si="8"/>
        <v>#N/A</v>
      </c>
      <c r="M263" s="9">
        <f t="shared" si="9"/>
        <v>0</v>
      </c>
    </row>
    <row r="264" spans="12:13" x14ac:dyDescent="0.25">
      <c r="L264" s="9" t="str">
        <f t="shared" si="8"/>
        <v>#N/A</v>
      </c>
      <c r="M264" s="9">
        <f t="shared" si="9"/>
        <v>0</v>
      </c>
    </row>
    <row r="265" spans="12:13" x14ac:dyDescent="0.25">
      <c r="L265" s="9" t="str">
        <f t="shared" si="8"/>
        <v>#N/A</v>
      </c>
      <c r="M265" s="9">
        <f t="shared" si="9"/>
        <v>0</v>
      </c>
    </row>
    <row r="266" spans="12:13" x14ac:dyDescent="0.25">
      <c r="L266" s="9" t="str">
        <f t="shared" si="8"/>
        <v>#N/A</v>
      </c>
      <c r="M266" s="9">
        <f t="shared" si="9"/>
        <v>0</v>
      </c>
    </row>
    <row r="267" spans="12:13" x14ac:dyDescent="0.25">
      <c r="L267" s="9" t="str">
        <f t="shared" si="8"/>
        <v>#N/A</v>
      </c>
      <c r="M267" s="9">
        <f t="shared" si="9"/>
        <v>0</v>
      </c>
    </row>
    <row r="268" spans="12:13" x14ac:dyDescent="0.25">
      <c r="L268" s="9" t="str">
        <f t="shared" si="8"/>
        <v>#N/A</v>
      </c>
      <c r="M268" s="9">
        <f t="shared" si="9"/>
        <v>0</v>
      </c>
    </row>
    <row r="269" spans="12:13" x14ac:dyDescent="0.25">
      <c r="L269" s="9" t="str">
        <f t="shared" si="8"/>
        <v>#N/A</v>
      </c>
      <c r="M269" s="9">
        <f t="shared" si="9"/>
        <v>0</v>
      </c>
    </row>
    <row r="270" spans="12:13" x14ac:dyDescent="0.25">
      <c r="L270" s="9" t="str">
        <f t="shared" si="8"/>
        <v>#N/A</v>
      </c>
      <c r="M270" s="9">
        <f t="shared" si="9"/>
        <v>0</v>
      </c>
    </row>
    <row r="271" spans="12:13" x14ac:dyDescent="0.25">
      <c r="L271" s="9" t="str">
        <f t="shared" si="8"/>
        <v>#N/A</v>
      </c>
      <c r="M271" s="9">
        <f t="shared" si="9"/>
        <v>0</v>
      </c>
    </row>
    <row r="272" spans="12:13" x14ac:dyDescent="0.25">
      <c r="L272" s="9" t="str">
        <f t="shared" si="8"/>
        <v>#N/A</v>
      </c>
      <c r="M272" s="9">
        <f t="shared" si="9"/>
        <v>0</v>
      </c>
    </row>
    <row r="273" spans="12:13" x14ac:dyDescent="0.25">
      <c r="L273" s="9" t="str">
        <f t="shared" si="8"/>
        <v>#N/A</v>
      </c>
      <c r="M273" s="9">
        <f t="shared" si="9"/>
        <v>0</v>
      </c>
    </row>
    <row r="274" spans="12:13" x14ac:dyDescent="0.25">
      <c r="L274" s="9" t="str">
        <f t="shared" si="8"/>
        <v>#N/A</v>
      </c>
      <c r="M274" s="9">
        <f t="shared" si="9"/>
        <v>0</v>
      </c>
    </row>
    <row r="275" spans="12:13" x14ac:dyDescent="0.25">
      <c r="L275" s="9" t="str">
        <f t="shared" si="8"/>
        <v>#N/A</v>
      </c>
      <c r="M275" s="9">
        <f t="shared" si="9"/>
        <v>0</v>
      </c>
    </row>
    <row r="276" spans="12:13" x14ac:dyDescent="0.25">
      <c r="L276" s="9" t="str">
        <f t="shared" si="8"/>
        <v>#N/A</v>
      </c>
      <c r="M276" s="9">
        <f t="shared" si="9"/>
        <v>0</v>
      </c>
    </row>
    <row r="277" spans="12:13" x14ac:dyDescent="0.25">
      <c r="L277" s="9" t="str">
        <f t="shared" si="8"/>
        <v>#N/A</v>
      </c>
      <c r="M277" s="9">
        <f t="shared" si="9"/>
        <v>0</v>
      </c>
    </row>
    <row r="278" spans="12:13" x14ac:dyDescent="0.25">
      <c r="L278" s="9" t="str">
        <f t="shared" si="8"/>
        <v>#N/A</v>
      </c>
      <c r="M278" s="9">
        <f t="shared" si="9"/>
        <v>0</v>
      </c>
    </row>
    <row r="279" spans="12:13" x14ac:dyDescent="0.25">
      <c r="L279" s="9" t="str">
        <f t="shared" si="8"/>
        <v>#N/A</v>
      </c>
      <c r="M279" s="9">
        <f t="shared" si="9"/>
        <v>0</v>
      </c>
    </row>
    <row r="280" spans="12:13" x14ac:dyDescent="0.25">
      <c r="L280" s="9" t="str">
        <f t="shared" si="8"/>
        <v>#N/A</v>
      </c>
      <c r="M280" s="9">
        <f t="shared" si="9"/>
        <v>0</v>
      </c>
    </row>
    <row r="281" spans="12:13" x14ac:dyDescent="0.25">
      <c r="L281" s="9" t="str">
        <f t="shared" si="8"/>
        <v>#N/A</v>
      </c>
      <c r="M281" s="9">
        <f t="shared" si="9"/>
        <v>0</v>
      </c>
    </row>
    <row r="282" spans="12:13" x14ac:dyDescent="0.25">
      <c r="L282" s="9" t="str">
        <f t="shared" si="8"/>
        <v>#N/A</v>
      </c>
      <c r="M282" s="9">
        <f t="shared" si="9"/>
        <v>0</v>
      </c>
    </row>
    <row r="283" spans="12:13" x14ac:dyDescent="0.25">
      <c r="L283" s="9" t="str">
        <f t="shared" si="8"/>
        <v>#N/A</v>
      </c>
      <c r="M283" s="9">
        <f t="shared" si="9"/>
        <v>0</v>
      </c>
    </row>
    <row r="284" spans="12:13" x14ac:dyDescent="0.25">
      <c r="L284" s="9" t="str">
        <f t="shared" si="8"/>
        <v>#N/A</v>
      </c>
      <c r="M284" s="9">
        <f t="shared" si="9"/>
        <v>0</v>
      </c>
    </row>
    <row r="285" spans="12:13" x14ac:dyDescent="0.25">
      <c r="L285" s="9" t="str">
        <f t="shared" si="8"/>
        <v>#N/A</v>
      </c>
      <c r="M285" s="9">
        <f t="shared" si="9"/>
        <v>0</v>
      </c>
    </row>
    <row r="286" spans="12:13" x14ac:dyDescent="0.25">
      <c r="L286" s="9" t="str">
        <f t="shared" si="8"/>
        <v>#N/A</v>
      </c>
      <c r="M286" s="9">
        <f t="shared" si="9"/>
        <v>0</v>
      </c>
    </row>
    <row r="287" spans="12:13" x14ac:dyDescent="0.25">
      <c r="L287" s="9" t="str">
        <f t="shared" si="8"/>
        <v>#N/A</v>
      </c>
      <c r="M287" s="9">
        <f t="shared" si="9"/>
        <v>0</v>
      </c>
    </row>
    <row r="288" spans="12:13" x14ac:dyDescent="0.25">
      <c r="L288" s="9" t="str">
        <f t="shared" si="8"/>
        <v>#N/A</v>
      </c>
      <c r="M288" s="9">
        <f t="shared" si="9"/>
        <v>0</v>
      </c>
    </row>
    <row r="289" spans="12:13" x14ac:dyDescent="0.25">
      <c r="L289" s="9" t="str">
        <f t="shared" si="8"/>
        <v>#N/A</v>
      </c>
      <c r="M289" s="9">
        <f t="shared" si="9"/>
        <v>0</v>
      </c>
    </row>
    <row r="290" spans="12:13" x14ac:dyDescent="0.25">
      <c r="L290" s="9" t="str">
        <f t="shared" si="8"/>
        <v>#N/A</v>
      </c>
      <c r="M290" s="9">
        <f t="shared" si="9"/>
        <v>0</v>
      </c>
    </row>
    <row r="291" spans="12:13" x14ac:dyDescent="0.25">
      <c r="L291" s="9" t="str">
        <f t="shared" si="8"/>
        <v>#N/A</v>
      </c>
      <c r="M291" s="9">
        <f t="shared" si="9"/>
        <v>0</v>
      </c>
    </row>
    <row r="292" spans="12:13" x14ac:dyDescent="0.25">
      <c r="L292" s="9" t="str">
        <f t="shared" si="8"/>
        <v>#N/A</v>
      </c>
      <c r="M292" s="9">
        <f t="shared" si="9"/>
        <v>0</v>
      </c>
    </row>
    <row r="293" spans="12:13" x14ac:dyDescent="0.25">
      <c r="L293" s="9" t="str">
        <f t="shared" si="8"/>
        <v>#N/A</v>
      </c>
      <c r="M293" s="9">
        <f t="shared" si="9"/>
        <v>0</v>
      </c>
    </row>
    <row r="294" spans="12:13" x14ac:dyDescent="0.25">
      <c r="L294" s="9" t="str">
        <f t="shared" si="8"/>
        <v>#N/A</v>
      </c>
      <c r="M294" s="9">
        <f t="shared" si="9"/>
        <v>0</v>
      </c>
    </row>
    <row r="295" spans="12:13" x14ac:dyDescent="0.25">
      <c r="L295" s="9" t="str">
        <f t="shared" si="8"/>
        <v>#N/A</v>
      </c>
      <c r="M295" s="9">
        <f t="shared" si="9"/>
        <v>0</v>
      </c>
    </row>
    <row r="296" spans="12:13" x14ac:dyDescent="0.25">
      <c r="L296" s="9" t="str">
        <f t="shared" si="8"/>
        <v>#N/A</v>
      </c>
      <c r="M296" s="9">
        <f t="shared" si="9"/>
        <v>0</v>
      </c>
    </row>
    <row r="297" spans="12:13" x14ac:dyDescent="0.25">
      <c r="L297" s="9" t="str">
        <f t="shared" si="8"/>
        <v>#N/A</v>
      </c>
      <c r="M297" s="9">
        <f t="shared" si="9"/>
        <v>0</v>
      </c>
    </row>
    <row r="298" spans="12:13" x14ac:dyDescent="0.25">
      <c r="L298" s="9" t="str">
        <f t="shared" si="8"/>
        <v>#N/A</v>
      </c>
      <c r="M298" s="9">
        <f t="shared" si="9"/>
        <v>0</v>
      </c>
    </row>
    <row r="299" spans="12:13" x14ac:dyDescent="0.25">
      <c r="L299" s="9" t="str">
        <f t="shared" si="8"/>
        <v>#N/A</v>
      </c>
      <c r="M299" s="9">
        <f t="shared" si="9"/>
        <v>0</v>
      </c>
    </row>
    <row r="300" spans="12:13" x14ac:dyDescent="0.25">
      <c r="L300" s="9" t="str">
        <f t="shared" si="8"/>
        <v>#N/A</v>
      </c>
      <c r="M300" s="9">
        <f t="shared" si="9"/>
        <v>0</v>
      </c>
    </row>
    <row r="301" spans="12:13" x14ac:dyDescent="0.25">
      <c r="L301" s="9" t="str">
        <f t="shared" si="8"/>
        <v>#N/A</v>
      </c>
      <c r="M301" s="9">
        <f t="shared" si="9"/>
        <v>0</v>
      </c>
    </row>
    <row r="302" spans="12:13" x14ac:dyDescent="0.25">
      <c r="L302" s="9" t="str">
        <f t="shared" si="8"/>
        <v>#N/A</v>
      </c>
      <c r="M302" s="9">
        <f t="shared" si="9"/>
        <v>0</v>
      </c>
    </row>
    <row r="303" spans="12:13" x14ac:dyDescent="0.25">
      <c r="L303" s="9" t="str">
        <f t="shared" si="8"/>
        <v>#N/A</v>
      </c>
      <c r="M303" s="9">
        <f t="shared" si="9"/>
        <v>0</v>
      </c>
    </row>
    <row r="304" spans="12:13" x14ac:dyDescent="0.25">
      <c r="L304" s="9" t="str">
        <f t="shared" si="8"/>
        <v>#N/A</v>
      </c>
      <c r="M304" s="9">
        <f t="shared" si="9"/>
        <v>0</v>
      </c>
    </row>
    <row r="305" spans="12:13" x14ac:dyDescent="0.25">
      <c r="L305" s="9" t="str">
        <f t="shared" si="8"/>
        <v>#N/A</v>
      </c>
      <c r="M305" s="9">
        <f t="shared" si="9"/>
        <v>0</v>
      </c>
    </row>
    <row r="306" spans="12:13" x14ac:dyDescent="0.25">
      <c r="L306" s="9" t="str">
        <f t="shared" si="8"/>
        <v>#N/A</v>
      </c>
      <c r="M306" s="9">
        <f t="shared" si="9"/>
        <v>0</v>
      </c>
    </row>
    <row r="307" spans="12:13" x14ac:dyDescent="0.25">
      <c r="L307" s="9" t="str">
        <f t="shared" si="8"/>
        <v>#N/A</v>
      </c>
      <c r="M307" s="9">
        <f t="shared" si="9"/>
        <v>0</v>
      </c>
    </row>
    <row r="308" spans="12:13" x14ac:dyDescent="0.25">
      <c r="L308" s="9" t="str">
        <f t="shared" si="8"/>
        <v>#N/A</v>
      </c>
      <c r="M308" s="9">
        <f t="shared" si="9"/>
        <v>0</v>
      </c>
    </row>
    <row r="309" spans="12:13" x14ac:dyDescent="0.25">
      <c r="L309" s="9" t="str">
        <f t="shared" si="8"/>
        <v>#N/A</v>
      </c>
      <c r="M309" s="9">
        <f t="shared" si="9"/>
        <v>0</v>
      </c>
    </row>
    <row r="310" spans="12:13" x14ac:dyDescent="0.25">
      <c r="L310" s="9" t="str">
        <f t="shared" si="8"/>
        <v>#N/A</v>
      </c>
      <c r="M310" s="9">
        <f t="shared" si="9"/>
        <v>0</v>
      </c>
    </row>
    <row r="311" spans="12:13" x14ac:dyDescent="0.25">
      <c r="L311" s="9" t="str">
        <f t="shared" si="8"/>
        <v>#N/A</v>
      </c>
      <c r="M311" s="9">
        <f t="shared" si="9"/>
        <v>0</v>
      </c>
    </row>
    <row r="312" spans="12:13" x14ac:dyDescent="0.25">
      <c r="L312" s="9" t="str">
        <f t="shared" si="8"/>
        <v>#N/A</v>
      </c>
      <c r="M312" s="9">
        <f t="shared" si="9"/>
        <v>0</v>
      </c>
    </row>
    <row r="313" spans="12:13" x14ac:dyDescent="0.25">
      <c r="L313" s="9" t="str">
        <f t="shared" si="8"/>
        <v>#N/A</v>
      </c>
      <c r="M313" s="9">
        <f t="shared" si="9"/>
        <v>0</v>
      </c>
    </row>
    <row r="314" spans="12:13" x14ac:dyDescent="0.25">
      <c r="L314" s="9" t="str">
        <f t="shared" si="8"/>
        <v>#N/A</v>
      </c>
      <c r="M314" s="9">
        <f t="shared" si="9"/>
        <v>0</v>
      </c>
    </row>
    <row r="315" spans="12:13" x14ac:dyDescent="0.25">
      <c r="L315" s="9" t="str">
        <f t="shared" si="8"/>
        <v>#N/A</v>
      </c>
      <c r="M315" s="9">
        <f t="shared" si="9"/>
        <v>0</v>
      </c>
    </row>
    <row r="316" spans="12:13" x14ac:dyDescent="0.25">
      <c r="L316" s="9" t="str">
        <f t="shared" si="8"/>
        <v>#N/A</v>
      </c>
      <c r="M316" s="9">
        <f t="shared" si="9"/>
        <v>0</v>
      </c>
    </row>
    <row r="317" spans="12:13" x14ac:dyDescent="0.25">
      <c r="L317" s="9" t="str">
        <f t="shared" si="8"/>
        <v>#N/A</v>
      </c>
      <c r="M317" s="9">
        <f t="shared" si="9"/>
        <v>0</v>
      </c>
    </row>
    <row r="318" spans="12:13" x14ac:dyDescent="0.25">
      <c r="L318" s="9" t="str">
        <f t="shared" si="8"/>
        <v>#N/A</v>
      </c>
      <c r="M318" s="9">
        <f t="shared" si="9"/>
        <v>0</v>
      </c>
    </row>
    <row r="319" spans="12:13" x14ac:dyDescent="0.25">
      <c r="L319" s="9" t="str">
        <f t="shared" si="8"/>
        <v>#N/A</v>
      </c>
      <c r="M319" s="9">
        <f t="shared" si="9"/>
        <v>0</v>
      </c>
    </row>
    <row r="320" spans="12:13" x14ac:dyDescent="0.25">
      <c r="L320" s="9" t="str">
        <f t="shared" si="8"/>
        <v>#N/A</v>
      </c>
      <c r="M320" s="9">
        <f t="shared" si="9"/>
        <v>0</v>
      </c>
    </row>
    <row r="321" spans="12:13" x14ac:dyDescent="0.25">
      <c r="L321" s="9" t="str">
        <f t="shared" si="8"/>
        <v>#N/A</v>
      </c>
      <c r="M321" s="9">
        <f t="shared" si="9"/>
        <v>0</v>
      </c>
    </row>
    <row r="322" spans="12:13" x14ac:dyDescent="0.25">
      <c r="L322" s="9" t="str">
        <f t="shared" ref="L322:L385" si="10">IF((D322^2+(B322*$K$2)^2)&gt;0,1/(D322^2+(B322*$K$2)^2),"#N/A")</f>
        <v>#N/A</v>
      </c>
      <c r="M322" s="9">
        <f t="shared" si="9"/>
        <v>0</v>
      </c>
    </row>
    <row r="323" spans="12:13" x14ac:dyDescent="0.25">
      <c r="L323" s="9" t="str">
        <f t="shared" si="10"/>
        <v>#N/A</v>
      </c>
      <c r="M323" s="9">
        <f t="shared" ref="M323:M386" si="11">IF(B323*$K$2&gt;D323*10,1,0)</f>
        <v>0</v>
      </c>
    </row>
    <row r="324" spans="12:13" x14ac:dyDescent="0.25">
      <c r="L324" s="9" t="str">
        <f t="shared" si="10"/>
        <v>#N/A</v>
      </c>
      <c r="M324" s="9">
        <f t="shared" si="11"/>
        <v>0</v>
      </c>
    </row>
    <row r="325" spans="12:13" x14ac:dyDescent="0.25">
      <c r="L325" s="9" t="str">
        <f t="shared" si="10"/>
        <v>#N/A</v>
      </c>
      <c r="M325" s="9">
        <f t="shared" si="11"/>
        <v>0</v>
      </c>
    </row>
    <row r="326" spans="12:13" x14ac:dyDescent="0.25">
      <c r="L326" s="9" t="str">
        <f t="shared" si="10"/>
        <v>#N/A</v>
      </c>
      <c r="M326" s="9">
        <f t="shared" si="11"/>
        <v>0</v>
      </c>
    </row>
    <row r="327" spans="12:13" x14ac:dyDescent="0.25">
      <c r="L327" s="9" t="str">
        <f t="shared" si="10"/>
        <v>#N/A</v>
      </c>
      <c r="M327" s="9">
        <f t="shared" si="11"/>
        <v>0</v>
      </c>
    </row>
    <row r="328" spans="12:13" x14ac:dyDescent="0.25">
      <c r="L328" s="9" t="str">
        <f t="shared" si="10"/>
        <v>#N/A</v>
      </c>
      <c r="M328" s="9">
        <f t="shared" si="11"/>
        <v>0</v>
      </c>
    </row>
    <row r="329" spans="12:13" x14ac:dyDescent="0.25">
      <c r="L329" s="9" t="str">
        <f t="shared" si="10"/>
        <v>#N/A</v>
      </c>
      <c r="M329" s="9">
        <f t="shared" si="11"/>
        <v>0</v>
      </c>
    </row>
    <row r="330" spans="12:13" x14ac:dyDescent="0.25">
      <c r="L330" s="9" t="str">
        <f t="shared" si="10"/>
        <v>#N/A</v>
      </c>
      <c r="M330" s="9">
        <f t="shared" si="11"/>
        <v>0</v>
      </c>
    </row>
    <row r="331" spans="12:13" x14ac:dyDescent="0.25">
      <c r="L331" s="9" t="str">
        <f t="shared" si="10"/>
        <v>#N/A</v>
      </c>
      <c r="M331" s="9">
        <f t="shared" si="11"/>
        <v>0</v>
      </c>
    </row>
    <row r="332" spans="12:13" x14ac:dyDescent="0.25">
      <c r="L332" s="9" t="str">
        <f t="shared" si="10"/>
        <v>#N/A</v>
      </c>
      <c r="M332" s="9">
        <f t="shared" si="11"/>
        <v>0</v>
      </c>
    </row>
    <row r="333" spans="12:13" x14ac:dyDescent="0.25">
      <c r="L333" s="9" t="str">
        <f t="shared" si="10"/>
        <v>#N/A</v>
      </c>
      <c r="M333" s="9">
        <f t="shared" si="11"/>
        <v>0</v>
      </c>
    </row>
    <row r="334" spans="12:13" x14ac:dyDescent="0.25">
      <c r="L334" s="9" t="str">
        <f t="shared" si="10"/>
        <v>#N/A</v>
      </c>
      <c r="M334" s="9">
        <f t="shared" si="11"/>
        <v>0</v>
      </c>
    </row>
    <row r="335" spans="12:13" x14ac:dyDescent="0.25">
      <c r="L335" s="9" t="str">
        <f t="shared" si="10"/>
        <v>#N/A</v>
      </c>
      <c r="M335" s="9">
        <f t="shared" si="11"/>
        <v>0</v>
      </c>
    </row>
    <row r="336" spans="12:13" x14ac:dyDescent="0.25">
      <c r="L336" s="9" t="str">
        <f t="shared" si="10"/>
        <v>#N/A</v>
      </c>
      <c r="M336" s="9">
        <f t="shared" si="11"/>
        <v>0</v>
      </c>
    </row>
    <row r="337" spans="12:13" x14ac:dyDescent="0.25">
      <c r="L337" s="9" t="str">
        <f t="shared" si="10"/>
        <v>#N/A</v>
      </c>
      <c r="M337" s="9">
        <f t="shared" si="11"/>
        <v>0</v>
      </c>
    </row>
    <row r="338" spans="12:13" x14ac:dyDescent="0.25">
      <c r="L338" s="9" t="str">
        <f t="shared" si="10"/>
        <v>#N/A</v>
      </c>
      <c r="M338" s="9">
        <f t="shared" si="11"/>
        <v>0</v>
      </c>
    </row>
    <row r="339" spans="12:13" x14ac:dyDescent="0.25">
      <c r="L339" s="9" t="str">
        <f t="shared" si="10"/>
        <v>#N/A</v>
      </c>
      <c r="M339" s="9">
        <f t="shared" si="11"/>
        <v>0</v>
      </c>
    </row>
    <row r="340" spans="12:13" x14ac:dyDescent="0.25">
      <c r="L340" s="9" t="str">
        <f t="shared" si="10"/>
        <v>#N/A</v>
      </c>
      <c r="M340" s="9">
        <f t="shared" si="11"/>
        <v>0</v>
      </c>
    </row>
    <row r="341" spans="12:13" x14ac:dyDescent="0.25">
      <c r="L341" s="9" t="str">
        <f t="shared" si="10"/>
        <v>#N/A</v>
      </c>
      <c r="M341" s="9">
        <f t="shared" si="11"/>
        <v>0</v>
      </c>
    </row>
    <row r="342" spans="12:13" x14ac:dyDescent="0.25">
      <c r="L342" s="9" t="str">
        <f t="shared" si="10"/>
        <v>#N/A</v>
      </c>
      <c r="M342" s="9">
        <f t="shared" si="11"/>
        <v>0</v>
      </c>
    </row>
    <row r="343" spans="12:13" x14ac:dyDescent="0.25">
      <c r="L343" s="9" t="str">
        <f t="shared" si="10"/>
        <v>#N/A</v>
      </c>
      <c r="M343" s="9">
        <f t="shared" si="11"/>
        <v>0</v>
      </c>
    </row>
    <row r="344" spans="12:13" x14ac:dyDescent="0.25">
      <c r="L344" s="9" t="str">
        <f t="shared" si="10"/>
        <v>#N/A</v>
      </c>
      <c r="M344" s="9">
        <f t="shared" si="11"/>
        <v>0</v>
      </c>
    </row>
    <row r="345" spans="12:13" x14ac:dyDescent="0.25">
      <c r="L345" s="9" t="str">
        <f t="shared" si="10"/>
        <v>#N/A</v>
      </c>
      <c r="M345" s="9">
        <f t="shared" si="11"/>
        <v>0</v>
      </c>
    </row>
    <row r="346" spans="12:13" x14ac:dyDescent="0.25">
      <c r="L346" s="9" t="str">
        <f t="shared" si="10"/>
        <v>#N/A</v>
      </c>
      <c r="M346" s="9">
        <f t="shared" si="11"/>
        <v>0</v>
      </c>
    </row>
    <row r="347" spans="12:13" x14ac:dyDescent="0.25">
      <c r="L347" s="9" t="str">
        <f t="shared" si="10"/>
        <v>#N/A</v>
      </c>
      <c r="M347" s="9">
        <f t="shared" si="11"/>
        <v>0</v>
      </c>
    </row>
    <row r="348" spans="12:13" x14ac:dyDescent="0.25">
      <c r="L348" s="9" t="str">
        <f t="shared" si="10"/>
        <v>#N/A</v>
      </c>
      <c r="M348" s="9">
        <f t="shared" si="11"/>
        <v>0</v>
      </c>
    </row>
    <row r="349" spans="12:13" x14ac:dyDescent="0.25">
      <c r="L349" s="9" t="str">
        <f t="shared" si="10"/>
        <v>#N/A</v>
      </c>
      <c r="M349" s="9">
        <f t="shared" si="11"/>
        <v>0</v>
      </c>
    </row>
    <row r="350" spans="12:13" x14ac:dyDescent="0.25">
      <c r="L350" s="9" t="str">
        <f t="shared" si="10"/>
        <v>#N/A</v>
      </c>
      <c r="M350" s="9">
        <f t="shared" si="11"/>
        <v>0</v>
      </c>
    </row>
    <row r="351" spans="12:13" x14ac:dyDescent="0.25">
      <c r="L351" s="9" t="str">
        <f t="shared" si="10"/>
        <v>#N/A</v>
      </c>
      <c r="M351" s="9">
        <f t="shared" si="11"/>
        <v>0</v>
      </c>
    </row>
    <row r="352" spans="12:13" x14ac:dyDescent="0.25">
      <c r="L352" s="9" t="str">
        <f t="shared" si="10"/>
        <v>#N/A</v>
      </c>
      <c r="M352" s="9">
        <f t="shared" si="11"/>
        <v>0</v>
      </c>
    </row>
    <row r="353" spans="12:13" x14ac:dyDescent="0.25">
      <c r="L353" s="9" t="str">
        <f t="shared" si="10"/>
        <v>#N/A</v>
      </c>
      <c r="M353" s="9">
        <f t="shared" si="11"/>
        <v>0</v>
      </c>
    </row>
    <row r="354" spans="12:13" x14ac:dyDescent="0.25">
      <c r="L354" s="9" t="str">
        <f t="shared" si="10"/>
        <v>#N/A</v>
      </c>
      <c r="M354" s="9">
        <f t="shared" si="11"/>
        <v>0</v>
      </c>
    </row>
    <row r="355" spans="12:13" x14ac:dyDescent="0.25">
      <c r="L355" s="9" t="str">
        <f t="shared" si="10"/>
        <v>#N/A</v>
      </c>
      <c r="M355" s="9">
        <f t="shared" si="11"/>
        <v>0</v>
      </c>
    </row>
    <row r="356" spans="12:13" x14ac:dyDescent="0.25">
      <c r="L356" s="9" t="str">
        <f t="shared" si="10"/>
        <v>#N/A</v>
      </c>
      <c r="M356" s="9">
        <f t="shared" si="11"/>
        <v>0</v>
      </c>
    </row>
    <row r="357" spans="12:13" x14ac:dyDescent="0.25">
      <c r="L357" s="9" t="str">
        <f t="shared" si="10"/>
        <v>#N/A</v>
      </c>
      <c r="M357" s="9">
        <f t="shared" si="11"/>
        <v>0</v>
      </c>
    </row>
    <row r="358" spans="12:13" x14ac:dyDescent="0.25">
      <c r="L358" s="9" t="str">
        <f t="shared" si="10"/>
        <v>#N/A</v>
      </c>
      <c r="M358" s="9">
        <f t="shared" si="11"/>
        <v>0</v>
      </c>
    </row>
    <row r="359" spans="12:13" x14ac:dyDescent="0.25">
      <c r="L359" s="9" t="str">
        <f t="shared" si="10"/>
        <v>#N/A</v>
      </c>
      <c r="M359" s="9">
        <f t="shared" si="11"/>
        <v>0</v>
      </c>
    </row>
    <row r="360" spans="12:13" x14ac:dyDescent="0.25">
      <c r="L360" s="9" t="str">
        <f t="shared" si="10"/>
        <v>#N/A</v>
      </c>
      <c r="M360" s="9">
        <f t="shared" si="11"/>
        <v>0</v>
      </c>
    </row>
    <row r="361" spans="12:13" x14ac:dyDescent="0.25">
      <c r="L361" s="9" t="str">
        <f t="shared" si="10"/>
        <v>#N/A</v>
      </c>
      <c r="M361" s="9">
        <f t="shared" si="11"/>
        <v>0</v>
      </c>
    </row>
    <row r="362" spans="12:13" x14ac:dyDescent="0.25">
      <c r="L362" s="9" t="str">
        <f t="shared" si="10"/>
        <v>#N/A</v>
      </c>
      <c r="M362" s="9">
        <f t="shared" si="11"/>
        <v>0</v>
      </c>
    </row>
    <row r="363" spans="12:13" x14ac:dyDescent="0.25">
      <c r="L363" s="9" t="str">
        <f t="shared" si="10"/>
        <v>#N/A</v>
      </c>
      <c r="M363" s="9">
        <f t="shared" si="11"/>
        <v>0</v>
      </c>
    </row>
    <row r="364" spans="12:13" x14ac:dyDescent="0.25">
      <c r="L364" s="9" t="str">
        <f t="shared" si="10"/>
        <v>#N/A</v>
      </c>
      <c r="M364" s="9">
        <f t="shared" si="11"/>
        <v>0</v>
      </c>
    </row>
    <row r="365" spans="12:13" x14ac:dyDescent="0.25">
      <c r="L365" s="9" t="str">
        <f t="shared" si="10"/>
        <v>#N/A</v>
      </c>
      <c r="M365" s="9">
        <f t="shared" si="11"/>
        <v>0</v>
      </c>
    </row>
    <row r="366" spans="12:13" x14ac:dyDescent="0.25">
      <c r="L366" s="9" t="str">
        <f t="shared" si="10"/>
        <v>#N/A</v>
      </c>
      <c r="M366" s="9">
        <f t="shared" si="11"/>
        <v>0</v>
      </c>
    </row>
    <row r="367" spans="12:13" x14ac:dyDescent="0.25">
      <c r="L367" s="9" t="str">
        <f t="shared" si="10"/>
        <v>#N/A</v>
      </c>
      <c r="M367" s="9">
        <f t="shared" si="11"/>
        <v>0</v>
      </c>
    </row>
    <row r="368" spans="12:13" x14ac:dyDescent="0.25">
      <c r="L368" s="9" t="str">
        <f t="shared" si="10"/>
        <v>#N/A</v>
      </c>
      <c r="M368" s="9">
        <f t="shared" si="11"/>
        <v>0</v>
      </c>
    </row>
    <row r="369" spans="12:13" x14ac:dyDescent="0.25">
      <c r="L369" s="9" t="str">
        <f t="shared" si="10"/>
        <v>#N/A</v>
      </c>
      <c r="M369" s="9">
        <f t="shared" si="11"/>
        <v>0</v>
      </c>
    </row>
    <row r="370" spans="12:13" x14ac:dyDescent="0.25">
      <c r="L370" s="9" t="str">
        <f t="shared" si="10"/>
        <v>#N/A</v>
      </c>
      <c r="M370" s="9">
        <f t="shared" si="11"/>
        <v>0</v>
      </c>
    </row>
    <row r="371" spans="12:13" x14ac:dyDescent="0.25">
      <c r="L371" s="9" t="str">
        <f t="shared" si="10"/>
        <v>#N/A</v>
      </c>
      <c r="M371" s="9">
        <f t="shared" si="11"/>
        <v>0</v>
      </c>
    </row>
    <row r="372" spans="12:13" x14ac:dyDescent="0.25">
      <c r="L372" s="9" t="str">
        <f t="shared" si="10"/>
        <v>#N/A</v>
      </c>
      <c r="M372" s="9">
        <f t="shared" si="11"/>
        <v>0</v>
      </c>
    </row>
    <row r="373" spans="12:13" x14ac:dyDescent="0.25">
      <c r="L373" s="9" t="str">
        <f t="shared" si="10"/>
        <v>#N/A</v>
      </c>
      <c r="M373" s="9">
        <f t="shared" si="11"/>
        <v>0</v>
      </c>
    </row>
    <row r="374" spans="12:13" x14ac:dyDescent="0.25">
      <c r="L374" s="9" t="str">
        <f t="shared" si="10"/>
        <v>#N/A</v>
      </c>
      <c r="M374" s="9">
        <f t="shared" si="11"/>
        <v>0</v>
      </c>
    </row>
    <row r="375" spans="12:13" x14ac:dyDescent="0.25">
      <c r="L375" s="9" t="str">
        <f t="shared" si="10"/>
        <v>#N/A</v>
      </c>
      <c r="M375" s="9">
        <f t="shared" si="11"/>
        <v>0</v>
      </c>
    </row>
    <row r="376" spans="12:13" x14ac:dyDescent="0.25">
      <c r="L376" s="9" t="str">
        <f t="shared" si="10"/>
        <v>#N/A</v>
      </c>
      <c r="M376" s="9">
        <f t="shared" si="11"/>
        <v>0</v>
      </c>
    </row>
    <row r="377" spans="12:13" x14ac:dyDescent="0.25">
      <c r="L377" s="9" t="str">
        <f t="shared" si="10"/>
        <v>#N/A</v>
      </c>
      <c r="M377" s="9">
        <f t="shared" si="11"/>
        <v>0</v>
      </c>
    </row>
    <row r="378" spans="12:13" x14ac:dyDescent="0.25">
      <c r="L378" s="9" t="str">
        <f t="shared" si="10"/>
        <v>#N/A</v>
      </c>
      <c r="M378" s="9">
        <f t="shared" si="11"/>
        <v>0</v>
      </c>
    </row>
    <row r="379" spans="12:13" x14ac:dyDescent="0.25">
      <c r="L379" s="9" t="str">
        <f t="shared" si="10"/>
        <v>#N/A</v>
      </c>
      <c r="M379" s="9">
        <f t="shared" si="11"/>
        <v>0</v>
      </c>
    </row>
    <row r="380" spans="12:13" x14ac:dyDescent="0.25">
      <c r="L380" s="9" t="str">
        <f t="shared" si="10"/>
        <v>#N/A</v>
      </c>
      <c r="M380" s="9">
        <f t="shared" si="11"/>
        <v>0</v>
      </c>
    </row>
    <row r="381" spans="12:13" x14ac:dyDescent="0.25">
      <c r="L381" s="9" t="str">
        <f t="shared" si="10"/>
        <v>#N/A</v>
      </c>
      <c r="M381" s="9">
        <f t="shared" si="11"/>
        <v>0</v>
      </c>
    </row>
    <row r="382" spans="12:13" x14ac:dyDescent="0.25">
      <c r="L382" s="9" t="str">
        <f t="shared" si="10"/>
        <v>#N/A</v>
      </c>
      <c r="M382" s="9">
        <f t="shared" si="11"/>
        <v>0</v>
      </c>
    </row>
    <row r="383" spans="12:13" x14ac:dyDescent="0.25">
      <c r="L383" s="9" t="str">
        <f t="shared" si="10"/>
        <v>#N/A</v>
      </c>
      <c r="M383" s="9">
        <f t="shared" si="11"/>
        <v>0</v>
      </c>
    </row>
    <row r="384" spans="12:13" x14ac:dyDescent="0.25">
      <c r="L384" s="9" t="str">
        <f t="shared" si="10"/>
        <v>#N/A</v>
      </c>
      <c r="M384" s="9">
        <f t="shared" si="11"/>
        <v>0</v>
      </c>
    </row>
    <row r="385" spans="12:13" x14ac:dyDescent="0.25">
      <c r="L385" s="9" t="str">
        <f t="shared" si="10"/>
        <v>#N/A</v>
      </c>
      <c r="M385" s="9">
        <f t="shared" si="11"/>
        <v>0</v>
      </c>
    </row>
    <row r="386" spans="12:13" x14ac:dyDescent="0.25">
      <c r="L386" s="9" t="str">
        <f t="shared" ref="L386:L449" si="12">IF((D386^2+(B386*$K$2)^2)&gt;0,1/(D386^2+(B386*$K$2)^2),"#N/A")</f>
        <v>#N/A</v>
      </c>
      <c r="M386" s="9">
        <f t="shared" si="11"/>
        <v>0</v>
      </c>
    </row>
    <row r="387" spans="12:13" x14ac:dyDescent="0.25">
      <c r="L387" s="9" t="str">
        <f t="shared" si="12"/>
        <v>#N/A</v>
      </c>
      <c r="M387" s="9">
        <f t="shared" ref="M387:M450" si="13">IF(B387*$K$2&gt;D387*10,1,0)</f>
        <v>0</v>
      </c>
    </row>
    <row r="388" spans="12:13" x14ac:dyDescent="0.25">
      <c r="L388" s="9" t="str">
        <f t="shared" si="12"/>
        <v>#N/A</v>
      </c>
      <c r="M388" s="9">
        <f t="shared" si="13"/>
        <v>0</v>
      </c>
    </row>
    <row r="389" spans="12:13" x14ac:dyDescent="0.25">
      <c r="L389" s="9" t="str">
        <f t="shared" si="12"/>
        <v>#N/A</v>
      </c>
      <c r="M389" s="9">
        <f t="shared" si="13"/>
        <v>0</v>
      </c>
    </row>
    <row r="390" spans="12:13" x14ac:dyDescent="0.25">
      <c r="L390" s="9" t="str">
        <f t="shared" si="12"/>
        <v>#N/A</v>
      </c>
      <c r="M390" s="9">
        <f t="shared" si="13"/>
        <v>0</v>
      </c>
    </row>
    <row r="391" spans="12:13" x14ac:dyDescent="0.25">
      <c r="L391" s="9" t="str">
        <f t="shared" si="12"/>
        <v>#N/A</v>
      </c>
      <c r="M391" s="9">
        <f t="shared" si="13"/>
        <v>0</v>
      </c>
    </row>
    <row r="392" spans="12:13" x14ac:dyDescent="0.25">
      <c r="L392" s="9" t="str">
        <f t="shared" si="12"/>
        <v>#N/A</v>
      </c>
      <c r="M392" s="9">
        <f t="shared" si="13"/>
        <v>0</v>
      </c>
    </row>
    <row r="393" spans="12:13" x14ac:dyDescent="0.25">
      <c r="L393" s="9" t="str">
        <f t="shared" si="12"/>
        <v>#N/A</v>
      </c>
      <c r="M393" s="9">
        <f t="shared" si="13"/>
        <v>0</v>
      </c>
    </row>
    <row r="394" spans="12:13" x14ac:dyDescent="0.25">
      <c r="L394" s="9" t="str">
        <f t="shared" si="12"/>
        <v>#N/A</v>
      </c>
      <c r="M394" s="9">
        <f t="shared" si="13"/>
        <v>0</v>
      </c>
    </row>
    <row r="395" spans="12:13" x14ac:dyDescent="0.25">
      <c r="L395" s="9" t="str">
        <f t="shared" si="12"/>
        <v>#N/A</v>
      </c>
      <c r="M395" s="9">
        <f t="shared" si="13"/>
        <v>0</v>
      </c>
    </row>
    <row r="396" spans="12:13" x14ac:dyDescent="0.25">
      <c r="L396" s="9" t="str">
        <f t="shared" si="12"/>
        <v>#N/A</v>
      </c>
      <c r="M396" s="9">
        <f t="shared" si="13"/>
        <v>0</v>
      </c>
    </row>
    <row r="397" spans="12:13" x14ac:dyDescent="0.25">
      <c r="L397" s="9" t="str">
        <f t="shared" si="12"/>
        <v>#N/A</v>
      </c>
      <c r="M397" s="9">
        <f t="shared" si="13"/>
        <v>0</v>
      </c>
    </row>
    <row r="398" spans="12:13" x14ac:dyDescent="0.25">
      <c r="L398" s="9" t="str">
        <f t="shared" si="12"/>
        <v>#N/A</v>
      </c>
      <c r="M398" s="9">
        <f t="shared" si="13"/>
        <v>0</v>
      </c>
    </row>
    <row r="399" spans="12:13" x14ac:dyDescent="0.25">
      <c r="L399" s="9" t="str">
        <f t="shared" si="12"/>
        <v>#N/A</v>
      </c>
      <c r="M399" s="9">
        <f t="shared" si="13"/>
        <v>0</v>
      </c>
    </row>
    <row r="400" spans="12:13" x14ac:dyDescent="0.25">
      <c r="L400" s="9" t="str">
        <f t="shared" si="12"/>
        <v>#N/A</v>
      </c>
      <c r="M400" s="9">
        <f t="shared" si="13"/>
        <v>0</v>
      </c>
    </row>
    <row r="401" spans="12:13" x14ac:dyDescent="0.25">
      <c r="L401" s="9" t="str">
        <f t="shared" si="12"/>
        <v>#N/A</v>
      </c>
      <c r="M401" s="9">
        <f t="shared" si="13"/>
        <v>0</v>
      </c>
    </row>
    <row r="402" spans="12:13" x14ac:dyDescent="0.25">
      <c r="L402" s="9" t="str">
        <f t="shared" si="12"/>
        <v>#N/A</v>
      </c>
      <c r="M402" s="9">
        <f t="shared" si="13"/>
        <v>0</v>
      </c>
    </row>
    <row r="403" spans="12:13" x14ac:dyDescent="0.25">
      <c r="L403" s="9" t="str">
        <f t="shared" si="12"/>
        <v>#N/A</v>
      </c>
      <c r="M403" s="9">
        <f t="shared" si="13"/>
        <v>0</v>
      </c>
    </row>
    <row r="404" spans="12:13" x14ac:dyDescent="0.25">
      <c r="L404" s="9" t="str">
        <f t="shared" si="12"/>
        <v>#N/A</v>
      </c>
      <c r="M404" s="9">
        <f t="shared" si="13"/>
        <v>0</v>
      </c>
    </row>
    <row r="405" spans="12:13" x14ac:dyDescent="0.25">
      <c r="L405" s="9" t="str">
        <f t="shared" si="12"/>
        <v>#N/A</v>
      </c>
      <c r="M405" s="9">
        <f t="shared" si="13"/>
        <v>0</v>
      </c>
    </row>
    <row r="406" spans="12:13" x14ac:dyDescent="0.25">
      <c r="L406" s="9" t="str">
        <f t="shared" si="12"/>
        <v>#N/A</v>
      </c>
      <c r="M406" s="9">
        <f t="shared" si="13"/>
        <v>0</v>
      </c>
    </row>
    <row r="407" spans="12:13" x14ac:dyDescent="0.25">
      <c r="L407" s="9" t="str">
        <f t="shared" si="12"/>
        <v>#N/A</v>
      </c>
      <c r="M407" s="9">
        <f t="shared" si="13"/>
        <v>0</v>
      </c>
    </row>
    <row r="408" spans="12:13" x14ac:dyDescent="0.25">
      <c r="L408" s="9" t="str">
        <f t="shared" si="12"/>
        <v>#N/A</v>
      </c>
      <c r="M408" s="9">
        <f t="shared" si="13"/>
        <v>0</v>
      </c>
    </row>
    <row r="409" spans="12:13" x14ac:dyDescent="0.25">
      <c r="L409" s="9" t="str">
        <f t="shared" si="12"/>
        <v>#N/A</v>
      </c>
      <c r="M409" s="9">
        <f t="shared" si="13"/>
        <v>0</v>
      </c>
    </row>
    <row r="410" spans="12:13" x14ac:dyDescent="0.25">
      <c r="L410" s="9" t="str">
        <f t="shared" si="12"/>
        <v>#N/A</v>
      </c>
      <c r="M410" s="9">
        <f t="shared" si="13"/>
        <v>0</v>
      </c>
    </row>
    <row r="411" spans="12:13" x14ac:dyDescent="0.25">
      <c r="L411" s="9" t="str">
        <f t="shared" si="12"/>
        <v>#N/A</v>
      </c>
      <c r="M411" s="9">
        <f t="shared" si="13"/>
        <v>0</v>
      </c>
    </row>
    <row r="412" spans="12:13" x14ac:dyDescent="0.25">
      <c r="L412" s="9" t="str">
        <f t="shared" si="12"/>
        <v>#N/A</v>
      </c>
      <c r="M412" s="9">
        <f t="shared" si="13"/>
        <v>0</v>
      </c>
    </row>
    <row r="413" spans="12:13" x14ac:dyDescent="0.25">
      <c r="L413" s="9" t="str">
        <f t="shared" si="12"/>
        <v>#N/A</v>
      </c>
      <c r="M413" s="9">
        <f t="shared" si="13"/>
        <v>0</v>
      </c>
    </row>
    <row r="414" spans="12:13" x14ac:dyDescent="0.25">
      <c r="L414" s="9" t="str">
        <f t="shared" si="12"/>
        <v>#N/A</v>
      </c>
      <c r="M414" s="9">
        <f t="shared" si="13"/>
        <v>0</v>
      </c>
    </row>
    <row r="415" spans="12:13" x14ac:dyDescent="0.25">
      <c r="L415" s="9" t="str">
        <f t="shared" si="12"/>
        <v>#N/A</v>
      </c>
      <c r="M415" s="9">
        <f t="shared" si="13"/>
        <v>0</v>
      </c>
    </row>
    <row r="416" spans="12:13" x14ac:dyDescent="0.25">
      <c r="L416" s="9" t="str">
        <f t="shared" si="12"/>
        <v>#N/A</v>
      </c>
      <c r="M416" s="9">
        <f t="shared" si="13"/>
        <v>0</v>
      </c>
    </row>
    <row r="417" spans="12:13" x14ac:dyDescent="0.25">
      <c r="L417" s="9" t="str">
        <f t="shared" si="12"/>
        <v>#N/A</v>
      </c>
      <c r="M417" s="9">
        <f t="shared" si="13"/>
        <v>0</v>
      </c>
    </row>
    <row r="418" spans="12:13" x14ac:dyDescent="0.25">
      <c r="L418" s="9" t="str">
        <f t="shared" si="12"/>
        <v>#N/A</v>
      </c>
      <c r="M418" s="9">
        <f t="shared" si="13"/>
        <v>0</v>
      </c>
    </row>
    <row r="419" spans="12:13" x14ac:dyDescent="0.25">
      <c r="L419" s="9" t="str">
        <f t="shared" si="12"/>
        <v>#N/A</v>
      </c>
      <c r="M419" s="9">
        <f t="shared" si="13"/>
        <v>0</v>
      </c>
    </row>
    <row r="420" spans="12:13" x14ac:dyDescent="0.25">
      <c r="L420" s="9" t="str">
        <f t="shared" si="12"/>
        <v>#N/A</v>
      </c>
      <c r="M420" s="9">
        <f t="shared" si="13"/>
        <v>0</v>
      </c>
    </row>
    <row r="421" spans="12:13" x14ac:dyDescent="0.25">
      <c r="L421" s="9" t="str">
        <f t="shared" si="12"/>
        <v>#N/A</v>
      </c>
      <c r="M421" s="9">
        <f t="shared" si="13"/>
        <v>0</v>
      </c>
    </row>
    <row r="422" spans="12:13" x14ac:dyDescent="0.25">
      <c r="L422" s="9" t="str">
        <f t="shared" si="12"/>
        <v>#N/A</v>
      </c>
      <c r="M422" s="9">
        <f t="shared" si="13"/>
        <v>0</v>
      </c>
    </row>
    <row r="423" spans="12:13" x14ac:dyDescent="0.25">
      <c r="L423" s="9" t="str">
        <f t="shared" si="12"/>
        <v>#N/A</v>
      </c>
      <c r="M423" s="9">
        <f t="shared" si="13"/>
        <v>0</v>
      </c>
    </row>
    <row r="424" spans="12:13" x14ac:dyDescent="0.25">
      <c r="L424" s="9" t="str">
        <f t="shared" si="12"/>
        <v>#N/A</v>
      </c>
      <c r="M424" s="9">
        <f t="shared" si="13"/>
        <v>0</v>
      </c>
    </row>
    <row r="425" spans="12:13" x14ac:dyDescent="0.25">
      <c r="L425" s="9" t="str">
        <f t="shared" si="12"/>
        <v>#N/A</v>
      </c>
      <c r="M425" s="9">
        <f t="shared" si="13"/>
        <v>0</v>
      </c>
    </row>
    <row r="426" spans="12:13" x14ac:dyDescent="0.25">
      <c r="L426" s="9" t="str">
        <f t="shared" si="12"/>
        <v>#N/A</v>
      </c>
      <c r="M426" s="9">
        <f t="shared" si="13"/>
        <v>0</v>
      </c>
    </row>
    <row r="427" spans="12:13" x14ac:dyDescent="0.25">
      <c r="L427" s="9" t="str">
        <f t="shared" si="12"/>
        <v>#N/A</v>
      </c>
      <c r="M427" s="9">
        <f t="shared" si="13"/>
        <v>0</v>
      </c>
    </row>
    <row r="428" spans="12:13" x14ac:dyDescent="0.25">
      <c r="L428" s="9" t="str">
        <f t="shared" si="12"/>
        <v>#N/A</v>
      </c>
      <c r="M428" s="9">
        <f t="shared" si="13"/>
        <v>0</v>
      </c>
    </row>
    <row r="429" spans="12:13" x14ac:dyDescent="0.25">
      <c r="L429" s="9" t="str">
        <f t="shared" si="12"/>
        <v>#N/A</v>
      </c>
      <c r="M429" s="9">
        <f t="shared" si="13"/>
        <v>0</v>
      </c>
    </row>
    <row r="430" spans="12:13" x14ac:dyDescent="0.25">
      <c r="L430" s="9" t="str">
        <f t="shared" si="12"/>
        <v>#N/A</v>
      </c>
      <c r="M430" s="9">
        <f t="shared" si="13"/>
        <v>0</v>
      </c>
    </row>
    <row r="431" spans="12:13" x14ac:dyDescent="0.25">
      <c r="L431" s="9" t="str">
        <f t="shared" si="12"/>
        <v>#N/A</v>
      </c>
      <c r="M431" s="9">
        <f t="shared" si="13"/>
        <v>0</v>
      </c>
    </row>
    <row r="432" spans="12:13" x14ac:dyDescent="0.25">
      <c r="L432" s="9" t="str">
        <f t="shared" si="12"/>
        <v>#N/A</v>
      </c>
      <c r="M432" s="9">
        <f t="shared" si="13"/>
        <v>0</v>
      </c>
    </row>
    <row r="433" spans="12:13" x14ac:dyDescent="0.25">
      <c r="L433" s="9" t="str">
        <f t="shared" si="12"/>
        <v>#N/A</v>
      </c>
      <c r="M433" s="9">
        <f t="shared" si="13"/>
        <v>0</v>
      </c>
    </row>
    <row r="434" spans="12:13" x14ac:dyDescent="0.25">
      <c r="L434" s="9" t="str">
        <f t="shared" si="12"/>
        <v>#N/A</v>
      </c>
      <c r="M434" s="9">
        <f t="shared" si="13"/>
        <v>0</v>
      </c>
    </row>
    <row r="435" spans="12:13" x14ac:dyDescent="0.25">
      <c r="L435" s="9" t="str">
        <f t="shared" si="12"/>
        <v>#N/A</v>
      </c>
      <c r="M435" s="9">
        <f t="shared" si="13"/>
        <v>0</v>
      </c>
    </row>
    <row r="436" spans="12:13" x14ac:dyDescent="0.25">
      <c r="L436" s="9" t="str">
        <f t="shared" si="12"/>
        <v>#N/A</v>
      </c>
      <c r="M436" s="9">
        <f t="shared" si="13"/>
        <v>0</v>
      </c>
    </row>
    <row r="437" spans="12:13" x14ac:dyDescent="0.25">
      <c r="L437" s="9" t="str">
        <f t="shared" si="12"/>
        <v>#N/A</v>
      </c>
      <c r="M437" s="9">
        <f t="shared" si="13"/>
        <v>0</v>
      </c>
    </row>
    <row r="438" spans="12:13" x14ac:dyDescent="0.25">
      <c r="L438" s="9" t="str">
        <f t="shared" si="12"/>
        <v>#N/A</v>
      </c>
      <c r="M438" s="9">
        <f t="shared" si="13"/>
        <v>0</v>
      </c>
    </row>
    <row r="439" spans="12:13" x14ac:dyDescent="0.25">
      <c r="L439" s="9" t="str">
        <f t="shared" si="12"/>
        <v>#N/A</v>
      </c>
      <c r="M439" s="9">
        <f t="shared" si="13"/>
        <v>0</v>
      </c>
    </row>
    <row r="440" spans="12:13" x14ac:dyDescent="0.25">
      <c r="L440" s="9" t="str">
        <f t="shared" si="12"/>
        <v>#N/A</v>
      </c>
      <c r="M440" s="9">
        <f t="shared" si="13"/>
        <v>0</v>
      </c>
    </row>
    <row r="441" spans="12:13" x14ac:dyDescent="0.25">
      <c r="L441" s="9" t="str">
        <f t="shared" si="12"/>
        <v>#N/A</v>
      </c>
      <c r="M441" s="9">
        <f t="shared" si="13"/>
        <v>0</v>
      </c>
    </row>
    <row r="442" spans="12:13" x14ac:dyDescent="0.25">
      <c r="L442" s="9" t="str">
        <f t="shared" si="12"/>
        <v>#N/A</v>
      </c>
      <c r="M442" s="9">
        <f t="shared" si="13"/>
        <v>0</v>
      </c>
    </row>
    <row r="443" spans="12:13" x14ac:dyDescent="0.25">
      <c r="L443" s="9" t="str">
        <f t="shared" si="12"/>
        <v>#N/A</v>
      </c>
      <c r="M443" s="9">
        <f t="shared" si="13"/>
        <v>0</v>
      </c>
    </row>
    <row r="444" spans="12:13" x14ac:dyDescent="0.25">
      <c r="L444" s="9" t="str">
        <f t="shared" si="12"/>
        <v>#N/A</v>
      </c>
      <c r="M444" s="9">
        <f t="shared" si="13"/>
        <v>0</v>
      </c>
    </row>
    <row r="445" spans="12:13" x14ac:dyDescent="0.25">
      <c r="L445" s="9" t="str">
        <f t="shared" si="12"/>
        <v>#N/A</v>
      </c>
      <c r="M445" s="9">
        <f t="shared" si="13"/>
        <v>0</v>
      </c>
    </row>
    <row r="446" spans="12:13" x14ac:dyDescent="0.25">
      <c r="L446" s="9" t="str">
        <f t="shared" si="12"/>
        <v>#N/A</v>
      </c>
      <c r="M446" s="9">
        <f t="shared" si="13"/>
        <v>0</v>
      </c>
    </row>
    <row r="447" spans="12:13" x14ac:dyDescent="0.25">
      <c r="L447" s="9" t="str">
        <f t="shared" si="12"/>
        <v>#N/A</v>
      </c>
      <c r="M447" s="9">
        <f t="shared" si="13"/>
        <v>0</v>
      </c>
    </row>
    <row r="448" spans="12:13" x14ac:dyDescent="0.25">
      <c r="L448" s="9" t="str">
        <f t="shared" si="12"/>
        <v>#N/A</v>
      </c>
      <c r="M448" s="9">
        <f t="shared" si="13"/>
        <v>0</v>
      </c>
    </row>
    <row r="449" spans="12:13" x14ac:dyDescent="0.25">
      <c r="L449" s="9" t="str">
        <f t="shared" si="12"/>
        <v>#N/A</v>
      </c>
      <c r="M449" s="9">
        <f t="shared" si="13"/>
        <v>0</v>
      </c>
    </row>
    <row r="450" spans="12:13" x14ac:dyDescent="0.25">
      <c r="L450" s="9" t="str">
        <f t="shared" ref="L450:L513" si="14">IF((D450^2+(B450*$K$2)^2)&gt;0,1/(D450^2+(B450*$K$2)^2),"#N/A")</f>
        <v>#N/A</v>
      </c>
      <c r="M450" s="9">
        <f t="shared" si="13"/>
        <v>0</v>
      </c>
    </row>
    <row r="451" spans="12:13" x14ac:dyDescent="0.25">
      <c r="L451" s="9" t="str">
        <f t="shared" si="14"/>
        <v>#N/A</v>
      </c>
      <c r="M451" s="9">
        <f t="shared" ref="M451:M514" si="15">IF(B451*$K$2&gt;D451*10,1,0)</f>
        <v>0</v>
      </c>
    </row>
    <row r="452" spans="12:13" x14ac:dyDescent="0.25">
      <c r="L452" s="9" t="str">
        <f t="shared" si="14"/>
        <v>#N/A</v>
      </c>
      <c r="M452" s="9">
        <f t="shared" si="15"/>
        <v>0</v>
      </c>
    </row>
    <row r="453" spans="12:13" x14ac:dyDescent="0.25">
      <c r="L453" s="9" t="str">
        <f t="shared" si="14"/>
        <v>#N/A</v>
      </c>
      <c r="M453" s="9">
        <f t="shared" si="15"/>
        <v>0</v>
      </c>
    </row>
    <row r="454" spans="12:13" x14ac:dyDescent="0.25">
      <c r="L454" s="9" t="str">
        <f t="shared" si="14"/>
        <v>#N/A</v>
      </c>
      <c r="M454" s="9">
        <f t="shared" si="15"/>
        <v>0</v>
      </c>
    </row>
    <row r="455" spans="12:13" x14ac:dyDescent="0.25">
      <c r="L455" s="9" t="str">
        <f t="shared" si="14"/>
        <v>#N/A</v>
      </c>
      <c r="M455" s="9">
        <f t="shared" si="15"/>
        <v>0</v>
      </c>
    </row>
    <row r="456" spans="12:13" x14ac:dyDescent="0.25">
      <c r="L456" s="9" t="str">
        <f t="shared" si="14"/>
        <v>#N/A</v>
      </c>
      <c r="M456" s="9">
        <f t="shared" si="15"/>
        <v>0</v>
      </c>
    </row>
    <row r="457" spans="12:13" x14ac:dyDescent="0.25">
      <c r="L457" s="9" t="str">
        <f t="shared" si="14"/>
        <v>#N/A</v>
      </c>
      <c r="M457" s="9">
        <f t="shared" si="15"/>
        <v>0</v>
      </c>
    </row>
    <row r="458" spans="12:13" x14ac:dyDescent="0.25">
      <c r="L458" s="9" t="str">
        <f t="shared" si="14"/>
        <v>#N/A</v>
      </c>
      <c r="M458" s="9">
        <f t="shared" si="15"/>
        <v>0</v>
      </c>
    </row>
    <row r="459" spans="12:13" x14ac:dyDescent="0.25">
      <c r="L459" s="9" t="str">
        <f t="shared" si="14"/>
        <v>#N/A</v>
      </c>
      <c r="M459" s="9">
        <f t="shared" si="15"/>
        <v>0</v>
      </c>
    </row>
    <row r="460" spans="12:13" x14ac:dyDescent="0.25">
      <c r="L460" s="9" t="str">
        <f t="shared" si="14"/>
        <v>#N/A</v>
      </c>
      <c r="M460" s="9">
        <f t="shared" si="15"/>
        <v>0</v>
      </c>
    </row>
    <row r="461" spans="12:13" x14ac:dyDescent="0.25">
      <c r="L461" s="9" t="str">
        <f t="shared" si="14"/>
        <v>#N/A</v>
      </c>
      <c r="M461" s="9">
        <f t="shared" si="15"/>
        <v>0</v>
      </c>
    </row>
    <row r="462" spans="12:13" x14ac:dyDescent="0.25">
      <c r="L462" s="9" t="str">
        <f t="shared" si="14"/>
        <v>#N/A</v>
      </c>
      <c r="M462" s="9">
        <f t="shared" si="15"/>
        <v>0</v>
      </c>
    </row>
    <row r="463" spans="12:13" x14ac:dyDescent="0.25">
      <c r="L463" s="9" t="str">
        <f t="shared" si="14"/>
        <v>#N/A</v>
      </c>
      <c r="M463" s="9">
        <f t="shared" si="15"/>
        <v>0</v>
      </c>
    </row>
    <row r="464" spans="12:13" x14ac:dyDescent="0.25">
      <c r="L464" s="9" t="str">
        <f t="shared" si="14"/>
        <v>#N/A</v>
      </c>
      <c r="M464" s="9">
        <f t="shared" si="15"/>
        <v>0</v>
      </c>
    </row>
    <row r="465" spans="12:13" x14ac:dyDescent="0.25">
      <c r="L465" s="9" t="str">
        <f t="shared" si="14"/>
        <v>#N/A</v>
      </c>
      <c r="M465" s="9">
        <f t="shared" si="15"/>
        <v>0</v>
      </c>
    </row>
    <row r="466" spans="12:13" x14ac:dyDescent="0.25">
      <c r="L466" s="9" t="str">
        <f t="shared" si="14"/>
        <v>#N/A</v>
      </c>
      <c r="M466" s="9">
        <f t="shared" si="15"/>
        <v>0</v>
      </c>
    </row>
    <row r="467" spans="12:13" x14ac:dyDescent="0.25">
      <c r="L467" s="9" t="str">
        <f t="shared" si="14"/>
        <v>#N/A</v>
      </c>
      <c r="M467" s="9">
        <f t="shared" si="15"/>
        <v>0</v>
      </c>
    </row>
    <row r="468" spans="12:13" x14ac:dyDescent="0.25">
      <c r="L468" s="9" t="str">
        <f t="shared" si="14"/>
        <v>#N/A</v>
      </c>
      <c r="M468" s="9">
        <f t="shared" si="15"/>
        <v>0</v>
      </c>
    </row>
    <row r="469" spans="12:13" x14ac:dyDescent="0.25">
      <c r="L469" s="9" t="str">
        <f t="shared" si="14"/>
        <v>#N/A</v>
      </c>
      <c r="M469" s="9">
        <f t="shared" si="15"/>
        <v>0</v>
      </c>
    </row>
    <row r="470" spans="12:13" x14ac:dyDescent="0.25">
      <c r="L470" s="9" t="str">
        <f t="shared" si="14"/>
        <v>#N/A</v>
      </c>
      <c r="M470" s="9">
        <f t="shared" si="15"/>
        <v>0</v>
      </c>
    </row>
    <row r="471" spans="12:13" x14ac:dyDescent="0.25">
      <c r="L471" s="9" t="str">
        <f t="shared" si="14"/>
        <v>#N/A</v>
      </c>
      <c r="M471" s="9">
        <f t="shared" si="15"/>
        <v>0</v>
      </c>
    </row>
    <row r="472" spans="12:13" x14ac:dyDescent="0.25">
      <c r="L472" s="9" t="str">
        <f t="shared" si="14"/>
        <v>#N/A</v>
      </c>
      <c r="M472" s="9">
        <f t="shared" si="15"/>
        <v>0</v>
      </c>
    </row>
    <row r="473" spans="12:13" x14ac:dyDescent="0.25">
      <c r="L473" s="9" t="str">
        <f t="shared" si="14"/>
        <v>#N/A</v>
      </c>
      <c r="M473" s="9">
        <f t="shared" si="15"/>
        <v>0</v>
      </c>
    </row>
    <row r="474" spans="12:13" x14ac:dyDescent="0.25">
      <c r="L474" s="9" t="str">
        <f t="shared" si="14"/>
        <v>#N/A</v>
      </c>
      <c r="M474" s="9">
        <f t="shared" si="15"/>
        <v>0</v>
      </c>
    </row>
    <row r="475" spans="12:13" x14ac:dyDescent="0.25">
      <c r="L475" s="9" t="str">
        <f t="shared" si="14"/>
        <v>#N/A</v>
      </c>
      <c r="M475" s="9">
        <f t="shared" si="15"/>
        <v>0</v>
      </c>
    </row>
    <row r="476" spans="12:13" x14ac:dyDescent="0.25">
      <c r="L476" s="9" t="str">
        <f t="shared" si="14"/>
        <v>#N/A</v>
      </c>
      <c r="M476" s="9">
        <f t="shared" si="15"/>
        <v>0</v>
      </c>
    </row>
    <row r="477" spans="12:13" x14ac:dyDescent="0.25">
      <c r="L477" s="9" t="str">
        <f t="shared" si="14"/>
        <v>#N/A</v>
      </c>
      <c r="M477" s="9">
        <f t="shared" si="15"/>
        <v>0</v>
      </c>
    </row>
    <row r="478" spans="12:13" x14ac:dyDescent="0.25">
      <c r="L478" s="9" t="str">
        <f t="shared" si="14"/>
        <v>#N/A</v>
      </c>
      <c r="M478" s="9">
        <f t="shared" si="15"/>
        <v>0</v>
      </c>
    </row>
    <row r="479" spans="12:13" x14ac:dyDescent="0.25">
      <c r="L479" s="9" t="str">
        <f t="shared" si="14"/>
        <v>#N/A</v>
      </c>
      <c r="M479" s="9">
        <f t="shared" si="15"/>
        <v>0</v>
      </c>
    </row>
    <row r="480" spans="12:13" x14ac:dyDescent="0.25">
      <c r="L480" s="9" t="str">
        <f t="shared" si="14"/>
        <v>#N/A</v>
      </c>
      <c r="M480" s="9">
        <f t="shared" si="15"/>
        <v>0</v>
      </c>
    </row>
    <row r="481" spans="12:13" x14ac:dyDescent="0.25">
      <c r="L481" s="9" t="str">
        <f t="shared" si="14"/>
        <v>#N/A</v>
      </c>
      <c r="M481" s="9">
        <f t="shared" si="15"/>
        <v>0</v>
      </c>
    </row>
    <row r="482" spans="12:13" x14ac:dyDescent="0.25">
      <c r="L482" s="9" t="str">
        <f t="shared" si="14"/>
        <v>#N/A</v>
      </c>
      <c r="M482" s="9">
        <f t="shared" si="15"/>
        <v>0</v>
      </c>
    </row>
    <row r="483" spans="12:13" x14ac:dyDescent="0.25">
      <c r="L483" s="9" t="str">
        <f t="shared" si="14"/>
        <v>#N/A</v>
      </c>
      <c r="M483" s="9">
        <f t="shared" si="15"/>
        <v>0</v>
      </c>
    </row>
    <row r="484" spans="12:13" x14ac:dyDescent="0.25">
      <c r="L484" s="9" t="str">
        <f t="shared" si="14"/>
        <v>#N/A</v>
      </c>
      <c r="M484" s="9">
        <f t="shared" si="15"/>
        <v>0</v>
      </c>
    </row>
    <row r="485" spans="12:13" x14ac:dyDescent="0.25">
      <c r="L485" s="9" t="str">
        <f t="shared" si="14"/>
        <v>#N/A</v>
      </c>
      <c r="M485" s="9">
        <f t="shared" si="15"/>
        <v>0</v>
      </c>
    </row>
    <row r="486" spans="12:13" x14ac:dyDescent="0.25">
      <c r="L486" s="9" t="str">
        <f t="shared" si="14"/>
        <v>#N/A</v>
      </c>
      <c r="M486" s="9">
        <f t="shared" si="15"/>
        <v>0</v>
      </c>
    </row>
    <row r="487" spans="12:13" x14ac:dyDescent="0.25">
      <c r="L487" s="9" t="str">
        <f t="shared" si="14"/>
        <v>#N/A</v>
      </c>
      <c r="M487" s="9">
        <f t="shared" si="15"/>
        <v>0</v>
      </c>
    </row>
    <row r="488" spans="12:13" x14ac:dyDescent="0.25">
      <c r="L488" s="9" t="str">
        <f t="shared" si="14"/>
        <v>#N/A</v>
      </c>
      <c r="M488" s="9">
        <f t="shared" si="15"/>
        <v>0</v>
      </c>
    </row>
    <row r="489" spans="12:13" x14ac:dyDescent="0.25">
      <c r="L489" s="9" t="str">
        <f t="shared" si="14"/>
        <v>#N/A</v>
      </c>
      <c r="M489" s="9">
        <f t="shared" si="15"/>
        <v>0</v>
      </c>
    </row>
    <row r="490" spans="12:13" x14ac:dyDescent="0.25">
      <c r="L490" s="9" t="str">
        <f t="shared" si="14"/>
        <v>#N/A</v>
      </c>
      <c r="M490" s="9">
        <f t="shared" si="15"/>
        <v>0</v>
      </c>
    </row>
    <row r="491" spans="12:13" x14ac:dyDescent="0.25">
      <c r="L491" s="9" t="str">
        <f t="shared" si="14"/>
        <v>#N/A</v>
      </c>
      <c r="M491" s="9">
        <f t="shared" si="15"/>
        <v>0</v>
      </c>
    </row>
    <row r="492" spans="12:13" x14ac:dyDescent="0.25">
      <c r="L492" s="9" t="str">
        <f t="shared" si="14"/>
        <v>#N/A</v>
      </c>
      <c r="M492" s="9">
        <f t="shared" si="15"/>
        <v>0</v>
      </c>
    </row>
    <row r="493" spans="12:13" x14ac:dyDescent="0.25">
      <c r="L493" s="9" t="str">
        <f t="shared" si="14"/>
        <v>#N/A</v>
      </c>
      <c r="M493" s="9">
        <f t="shared" si="15"/>
        <v>0</v>
      </c>
    </row>
    <row r="494" spans="12:13" x14ac:dyDescent="0.25">
      <c r="L494" s="9" t="str">
        <f t="shared" si="14"/>
        <v>#N/A</v>
      </c>
      <c r="M494" s="9">
        <f t="shared" si="15"/>
        <v>0</v>
      </c>
    </row>
    <row r="495" spans="12:13" x14ac:dyDescent="0.25">
      <c r="L495" s="9" t="str">
        <f t="shared" si="14"/>
        <v>#N/A</v>
      </c>
      <c r="M495" s="9">
        <f t="shared" si="15"/>
        <v>0</v>
      </c>
    </row>
    <row r="496" spans="12:13" x14ac:dyDescent="0.25">
      <c r="L496" s="9" t="str">
        <f t="shared" si="14"/>
        <v>#N/A</v>
      </c>
      <c r="M496" s="9">
        <f t="shared" si="15"/>
        <v>0</v>
      </c>
    </row>
    <row r="497" spans="12:13" x14ac:dyDescent="0.25">
      <c r="L497" s="9" t="str">
        <f t="shared" si="14"/>
        <v>#N/A</v>
      </c>
      <c r="M497" s="9">
        <f t="shared" si="15"/>
        <v>0</v>
      </c>
    </row>
    <row r="498" spans="12:13" x14ac:dyDescent="0.25">
      <c r="L498" s="9" t="str">
        <f t="shared" si="14"/>
        <v>#N/A</v>
      </c>
      <c r="M498" s="9">
        <f t="shared" si="15"/>
        <v>0</v>
      </c>
    </row>
    <row r="499" spans="12:13" x14ac:dyDescent="0.25">
      <c r="L499" s="9" t="str">
        <f t="shared" si="14"/>
        <v>#N/A</v>
      </c>
      <c r="M499" s="9">
        <f t="shared" si="15"/>
        <v>0</v>
      </c>
    </row>
    <row r="500" spans="12:13" x14ac:dyDescent="0.25">
      <c r="L500" s="9" t="str">
        <f t="shared" si="14"/>
        <v>#N/A</v>
      </c>
      <c r="M500" s="9">
        <f t="shared" si="15"/>
        <v>0</v>
      </c>
    </row>
    <row r="501" spans="12:13" x14ac:dyDescent="0.25">
      <c r="L501" s="9" t="str">
        <f t="shared" si="14"/>
        <v>#N/A</v>
      </c>
      <c r="M501" s="9">
        <f t="shared" si="15"/>
        <v>0</v>
      </c>
    </row>
    <row r="502" spans="12:13" x14ac:dyDescent="0.25">
      <c r="L502" s="9" t="str">
        <f t="shared" si="14"/>
        <v>#N/A</v>
      </c>
      <c r="M502" s="9">
        <f t="shared" si="15"/>
        <v>0</v>
      </c>
    </row>
    <row r="503" spans="12:13" x14ac:dyDescent="0.25">
      <c r="L503" s="9" t="str">
        <f t="shared" si="14"/>
        <v>#N/A</v>
      </c>
      <c r="M503" s="9">
        <f t="shared" si="15"/>
        <v>0</v>
      </c>
    </row>
    <row r="504" spans="12:13" x14ac:dyDescent="0.25">
      <c r="L504" s="9" t="str">
        <f t="shared" si="14"/>
        <v>#N/A</v>
      </c>
      <c r="M504" s="9">
        <f t="shared" si="15"/>
        <v>0</v>
      </c>
    </row>
    <row r="505" spans="12:13" x14ac:dyDescent="0.25">
      <c r="L505" s="9" t="str">
        <f t="shared" si="14"/>
        <v>#N/A</v>
      </c>
      <c r="M505" s="9">
        <f t="shared" si="15"/>
        <v>0</v>
      </c>
    </row>
    <row r="506" spans="12:13" x14ac:dyDescent="0.25">
      <c r="L506" s="9" t="str">
        <f t="shared" si="14"/>
        <v>#N/A</v>
      </c>
      <c r="M506" s="9">
        <f t="shared" si="15"/>
        <v>0</v>
      </c>
    </row>
    <row r="507" spans="12:13" x14ac:dyDescent="0.25">
      <c r="L507" s="9" t="str">
        <f t="shared" si="14"/>
        <v>#N/A</v>
      </c>
      <c r="M507" s="9">
        <f t="shared" si="15"/>
        <v>0</v>
      </c>
    </row>
    <row r="508" spans="12:13" x14ac:dyDescent="0.25">
      <c r="L508" s="9" t="str">
        <f t="shared" si="14"/>
        <v>#N/A</v>
      </c>
      <c r="M508" s="9">
        <f t="shared" si="15"/>
        <v>0</v>
      </c>
    </row>
    <row r="509" spans="12:13" x14ac:dyDescent="0.25">
      <c r="L509" s="9" t="str">
        <f t="shared" si="14"/>
        <v>#N/A</v>
      </c>
      <c r="M509" s="9">
        <f t="shared" si="15"/>
        <v>0</v>
      </c>
    </row>
    <row r="510" spans="12:13" x14ac:dyDescent="0.25">
      <c r="L510" s="9" t="str">
        <f t="shared" si="14"/>
        <v>#N/A</v>
      </c>
      <c r="M510" s="9">
        <f t="shared" si="15"/>
        <v>0</v>
      </c>
    </row>
    <row r="511" spans="12:13" x14ac:dyDescent="0.25">
      <c r="L511" s="9" t="str">
        <f t="shared" si="14"/>
        <v>#N/A</v>
      </c>
      <c r="M511" s="9">
        <f t="shared" si="15"/>
        <v>0</v>
      </c>
    </row>
    <row r="512" spans="12:13" x14ac:dyDescent="0.25">
      <c r="L512" s="9" t="str">
        <f t="shared" si="14"/>
        <v>#N/A</v>
      </c>
      <c r="M512" s="9">
        <f t="shared" si="15"/>
        <v>0</v>
      </c>
    </row>
    <row r="513" spans="12:13" x14ac:dyDescent="0.25">
      <c r="L513" s="9" t="str">
        <f t="shared" si="14"/>
        <v>#N/A</v>
      </c>
      <c r="M513" s="9">
        <f t="shared" si="15"/>
        <v>0</v>
      </c>
    </row>
    <row r="514" spans="12:13" x14ac:dyDescent="0.25">
      <c r="L514" s="9" t="str">
        <f t="shared" ref="L514:L577" si="16">IF((D514^2+(B514*$K$2)^2)&gt;0,1/(D514^2+(B514*$K$2)^2),"#N/A")</f>
        <v>#N/A</v>
      </c>
      <c r="M514" s="9">
        <f t="shared" si="15"/>
        <v>0</v>
      </c>
    </row>
    <row r="515" spans="12:13" x14ac:dyDescent="0.25">
      <c r="L515" s="9" t="str">
        <f t="shared" si="16"/>
        <v>#N/A</v>
      </c>
      <c r="M515" s="9">
        <f t="shared" ref="M515:M578" si="17">IF(B515*$K$2&gt;D515*10,1,0)</f>
        <v>0</v>
      </c>
    </row>
    <row r="516" spans="12:13" x14ac:dyDescent="0.25">
      <c r="L516" s="9" t="str">
        <f t="shared" si="16"/>
        <v>#N/A</v>
      </c>
      <c r="M516" s="9">
        <f t="shared" si="17"/>
        <v>0</v>
      </c>
    </row>
    <row r="517" spans="12:13" x14ac:dyDescent="0.25">
      <c r="L517" s="9" t="str">
        <f t="shared" si="16"/>
        <v>#N/A</v>
      </c>
      <c r="M517" s="9">
        <f t="shared" si="17"/>
        <v>0</v>
      </c>
    </row>
    <row r="518" spans="12:13" x14ac:dyDescent="0.25">
      <c r="L518" s="9" t="str">
        <f t="shared" si="16"/>
        <v>#N/A</v>
      </c>
      <c r="M518" s="9">
        <f t="shared" si="17"/>
        <v>0</v>
      </c>
    </row>
    <row r="519" spans="12:13" x14ac:dyDescent="0.25">
      <c r="L519" s="9" t="str">
        <f t="shared" si="16"/>
        <v>#N/A</v>
      </c>
      <c r="M519" s="9">
        <f t="shared" si="17"/>
        <v>0</v>
      </c>
    </row>
    <row r="520" spans="12:13" x14ac:dyDescent="0.25">
      <c r="L520" s="9" t="str">
        <f t="shared" si="16"/>
        <v>#N/A</v>
      </c>
      <c r="M520" s="9">
        <f t="shared" si="17"/>
        <v>0</v>
      </c>
    </row>
    <row r="521" spans="12:13" x14ac:dyDescent="0.25">
      <c r="L521" s="9" t="str">
        <f t="shared" si="16"/>
        <v>#N/A</v>
      </c>
      <c r="M521" s="9">
        <f t="shared" si="17"/>
        <v>0</v>
      </c>
    </row>
    <row r="522" spans="12:13" x14ac:dyDescent="0.25">
      <c r="L522" s="9" t="str">
        <f t="shared" si="16"/>
        <v>#N/A</v>
      </c>
      <c r="M522" s="9">
        <f t="shared" si="17"/>
        <v>0</v>
      </c>
    </row>
    <row r="523" spans="12:13" x14ac:dyDescent="0.25">
      <c r="L523" s="9" t="str">
        <f t="shared" si="16"/>
        <v>#N/A</v>
      </c>
      <c r="M523" s="9">
        <f t="shared" si="17"/>
        <v>0</v>
      </c>
    </row>
    <row r="524" spans="12:13" x14ac:dyDescent="0.25">
      <c r="L524" s="9" t="str">
        <f t="shared" si="16"/>
        <v>#N/A</v>
      </c>
      <c r="M524" s="9">
        <f t="shared" si="17"/>
        <v>0</v>
      </c>
    </row>
    <row r="525" spans="12:13" x14ac:dyDescent="0.25">
      <c r="L525" s="9" t="str">
        <f t="shared" si="16"/>
        <v>#N/A</v>
      </c>
      <c r="M525" s="9">
        <f t="shared" si="17"/>
        <v>0</v>
      </c>
    </row>
    <row r="526" spans="12:13" x14ac:dyDescent="0.25">
      <c r="L526" s="9" t="str">
        <f t="shared" si="16"/>
        <v>#N/A</v>
      </c>
      <c r="M526" s="9">
        <f t="shared" si="17"/>
        <v>0</v>
      </c>
    </row>
    <row r="527" spans="12:13" x14ac:dyDescent="0.25">
      <c r="L527" s="9" t="str">
        <f t="shared" si="16"/>
        <v>#N/A</v>
      </c>
      <c r="M527" s="9">
        <f t="shared" si="17"/>
        <v>0</v>
      </c>
    </row>
    <row r="528" spans="12:13" x14ac:dyDescent="0.25">
      <c r="L528" s="9" t="str">
        <f t="shared" si="16"/>
        <v>#N/A</v>
      </c>
      <c r="M528" s="9">
        <f t="shared" si="17"/>
        <v>0</v>
      </c>
    </row>
    <row r="529" spans="12:13" x14ac:dyDescent="0.25">
      <c r="L529" s="9" t="str">
        <f t="shared" si="16"/>
        <v>#N/A</v>
      </c>
      <c r="M529" s="9">
        <f t="shared" si="17"/>
        <v>0</v>
      </c>
    </row>
    <row r="530" spans="12:13" x14ac:dyDescent="0.25">
      <c r="L530" s="9" t="str">
        <f t="shared" si="16"/>
        <v>#N/A</v>
      </c>
      <c r="M530" s="9">
        <f t="shared" si="17"/>
        <v>0</v>
      </c>
    </row>
    <row r="531" spans="12:13" x14ac:dyDescent="0.25">
      <c r="L531" s="9" t="str">
        <f t="shared" si="16"/>
        <v>#N/A</v>
      </c>
      <c r="M531" s="9">
        <f t="shared" si="17"/>
        <v>0</v>
      </c>
    </row>
    <row r="532" spans="12:13" x14ac:dyDescent="0.25">
      <c r="L532" s="9" t="str">
        <f t="shared" si="16"/>
        <v>#N/A</v>
      </c>
      <c r="M532" s="9">
        <f t="shared" si="17"/>
        <v>0</v>
      </c>
    </row>
    <row r="533" spans="12:13" x14ac:dyDescent="0.25">
      <c r="L533" s="9" t="str">
        <f t="shared" si="16"/>
        <v>#N/A</v>
      </c>
      <c r="M533" s="9">
        <f t="shared" si="17"/>
        <v>0</v>
      </c>
    </row>
    <row r="534" spans="12:13" x14ac:dyDescent="0.25">
      <c r="L534" s="9" t="str">
        <f t="shared" si="16"/>
        <v>#N/A</v>
      </c>
      <c r="M534" s="9">
        <f t="shared" si="17"/>
        <v>0</v>
      </c>
    </row>
    <row r="535" spans="12:13" x14ac:dyDescent="0.25">
      <c r="L535" s="9" t="str">
        <f t="shared" si="16"/>
        <v>#N/A</v>
      </c>
      <c r="M535" s="9">
        <f t="shared" si="17"/>
        <v>0</v>
      </c>
    </row>
    <row r="536" spans="12:13" x14ac:dyDescent="0.25">
      <c r="L536" s="9" t="str">
        <f t="shared" si="16"/>
        <v>#N/A</v>
      </c>
      <c r="M536" s="9">
        <f t="shared" si="17"/>
        <v>0</v>
      </c>
    </row>
    <row r="537" spans="12:13" x14ac:dyDescent="0.25">
      <c r="L537" s="9" t="str">
        <f t="shared" si="16"/>
        <v>#N/A</v>
      </c>
      <c r="M537" s="9">
        <f t="shared" si="17"/>
        <v>0</v>
      </c>
    </row>
    <row r="538" spans="12:13" x14ac:dyDescent="0.25">
      <c r="L538" s="9" t="str">
        <f t="shared" si="16"/>
        <v>#N/A</v>
      </c>
      <c r="M538" s="9">
        <f t="shared" si="17"/>
        <v>0</v>
      </c>
    </row>
    <row r="539" spans="12:13" x14ac:dyDescent="0.25">
      <c r="L539" s="9" t="str">
        <f t="shared" si="16"/>
        <v>#N/A</v>
      </c>
      <c r="M539" s="9">
        <f t="shared" si="17"/>
        <v>0</v>
      </c>
    </row>
    <row r="540" spans="12:13" x14ac:dyDescent="0.25">
      <c r="L540" s="9" t="str">
        <f t="shared" si="16"/>
        <v>#N/A</v>
      </c>
      <c r="M540" s="9">
        <f t="shared" si="17"/>
        <v>0</v>
      </c>
    </row>
    <row r="541" spans="12:13" x14ac:dyDescent="0.25">
      <c r="L541" s="9" t="str">
        <f t="shared" si="16"/>
        <v>#N/A</v>
      </c>
      <c r="M541" s="9">
        <f t="shared" si="17"/>
        <v>0</v>
      </c>
    </row>
    <row r="542" spans="12:13" x14ac:dyDescent="0.25">
      <c r="L542" s="9" t="str">
        <f t="shared" si="16"/>
        <v>#N/A</v>
      </c>
      <c r="M542" s="9">
        <f t="shared" si="17"/>
        <v>0</v>
      </c>
    </row>
    <row r="543" spans="12:13" x14ac:dyDescent="0.25">
      <c r="L543" s="9" t="str">
        <f t="shared" si="16"/>
        <v>#N/A</v>
      </c>
      <c r="M543" s="9">
        <f t="shared" si="17"/>
        <v>0</v>
      </c>
    </row>
    <row r="544" spans="12:13" x14ac:dyDescent="0.25">
      <c r="L544" s="9" t="str">
        <f t="shared" si="16"/>
        <v>#N/A</v>
      </c>
      <c r="M544" s="9">
        <f t="shared" si="17"/>
        <v>0</v>
      </c>
    </row>
    <row r="545" spans="12:13" x14ac:dyDescent="0.25">
      <c r="L545" s="9" t="str">
        <f t="shared" si="16"/>
        <v>#N/A</v>
      </c>
      <c r="M545" s="9">
        <f t="shared" si="17"/>
        <v>0</v>
      </c>
    </row>
    <row r="546" spans="12:13" x14ac:dyDescent="0.25">
      <c r="L546" s="9" t="str">
        <f t="shared" si="16"/>
        <v>#N/A</v>
      </c>
      <c r="M546" s="9">
        <f t="shared" si="17"/>
        <v>0</v>
      </c>
    </row>
    <row r="547" spans="12:13" x14ac:dyDescent="0.25">
      <c r="L547" s="9" t="str">
        <f t="shared" si="16"/>
        <v>#N/A</v>
      </c>
      <c r="M547" s="9">
        <f t="shared" si="17"/>
        <v>0</v>
      </c>
    </row>
    <row r="548" spans="12:13" x14ac:dyDescent="0.25">
      <c r="L548" s="9" t="str">
        <f t="shared" si="16"/>
        <v>#N/A</v>
      </c>
      <c r="M548" s="9">
        <f t="shared" si="17"/>
        <v>0</v>
      </c>
    </row>
    <row r="549" spans="12:13" x14ac:dyDescent="0.25">
      <c r="L549" s="9" t="str">
        <f t="shared" si="16"/>
        <v>#N/A</v>
      </c>
      <c r="M549" s="9">
        <f t="shared" si="17"/>
        <v>0</v>
      </c>
    </row>
    <row r="550" spans="12:13" x14ac:dyDescent="0.25">
      <c r="L550" s="9" t="str">
        <f t="shared" si="16"/>
        <v>#N/A</v>
      </c>
      <c r="M550" s="9">
        <f t="shared" si="17"/>
        <v>0</v>
      </c>
    </row>
    <row r="551" spans="12:13" x14ac:dyDescent="0.25">
      <c r="L551" s="9" t="str">
        <f t="shared" si="16"/>
        <v>#N/A</v>
      </c>
      <c r="M551" s="9">
        <f t="shared" si="17"/>
        <v>0</v>
      </c>
    </row>
    <row r="552" spans="12:13" x14ac:dyDescent="0.25">
      <c r="L552" s="9" t="str">
        <f t="shared" si="16"/>
        <v>#N/A</v>
      </c>
      <c r="M552" s="9">
        <f t="shared" si="17"/>
        <v>0</v>
      </c>
    </row>
    <row r="553" spans="12:13" x14ac:dyDescent="0.25">
      <c r="L553" s="9" t="str">
        <f t="shared" si="16"/>
        <v>#N/A</v>
      </c>
      <c r="M553" s="9">
        <f t="shared" si="17"/>
        <v>0</v>
      </c>
    </row>
    <row r="554" spans="12:13" x14ac:dyDescent="0.25">
      <c r="L554" s="9" t="str">
        <f t="shared" si="16"/>
        <v>#N/A</v>
      </c>
      <c r="M554" s="9">
        <f t="shared" si="17"/>
        <v>0</v>
      </c>
    </row>
    <row r="555" spans="12:13" x14ac:dyDescent="0.25">
      <c r="L555" s="9" t="str">
        <f t="shared" si="16"/>
        <v>#N/A</v>
      </c>
      <c r="M555" s="9">
        <f t="shared" si="17"/>
        <v>0</v>
      </c>
    </row>
    <row r="556" spans="12:13" x14ac:dyDescent="0.25">
      <c r="L556" s="9" t="str">
        <f t="shared" si="16"/>
        <v>#N/A</v>
      </c>
      <c r="M556" s="9">
        <f t="shared" si="17"/>
        <v>0</v>
      </c>
    </row>
    <row r="557" spans="12:13" x14ac:dyDescent="0.25">
      <c r="L557" s="9" t="str">
        <f t="shared" si="16"/>
        <v>#N/A</v>
      </c>
      <c r="M557" s="9">
        <f t="shared" si="17"/>
        <v>0</v>
      </c>
    </row>
    <row r="558" spans="12:13" x14ac:dyDescent="0.25">
      <c r="L558" s="9" t="str">
        <f t="shared" si="16"/>
        <v>#N/A</v>
      </c>
      <c r="M558" s="9">
        <f t="shared" si="17"/>
        <v>0</v>
      </c>
    </row>
    <row r="559" spans="12:13" x14ac:dyDescent="0.25">
      <c r="L559" s="9" t="str">
        <f t="shared" si="16"/>
        <v>#N/A</v>
      </c>
      <c r="M559" s="9">
        <f t="shared" si="17"/>
        <v>0</v>
      </c>
    </row>
    <row r="560" spans="12:13" x14ac:dyDescent="0.25">
      <c r="L560" s="9" t="str">
        <f t="shared" si="16"/>
        <v>#N/A</v>
      </c>
      <c r="M560" s="9">
        <f t="shared" si="17"/>
        <v>0</v>
      </c>
    </row>
    <row r="561" spans="12:13" x14ac:dyDescent="0.25">
      <c r="L561" s="9" t="str">
        <f t="shared" si="16"/>
        <v>#N/A</v>
      </c>
      <c r="M561" s="9">
        <f t="shared" si="17"/>
        <v>0</v>
      </c>
    </row>
    <row r="562" spans="12:13" x14ac:dyDescent="0.25">
      <c r="L562" s="9" t="str">
        <f t="shared" si="16"/>
        <v>#N/A</v>
      </c>
      <c r="M562" s="9">
        <f t="shared" si="17"/>
        <v>0</v>
      </c>
    </row>
    <row r="563" spans="12:13" x14ac:dyDescent="0.25">
      <c r="L563" s="9" t="str">
        <f t="shared" si="16"/>
        <v>#N/A</v>
      </c>
      <c r="M563" s="9">
        <f t="shared" si="17"/>
        <v>0</v>
      </c>
    </row>
    <row r="564" spans="12:13" x14ac:dyDescent="0.25">
      <c r="L564" s="9" t="str">
        <f t="shared" si="16"/>
        <v>#N/A</v>
      </c>
      <c r="M564" s="9">
        <f t="shared" si="17"/>
        <v>0</v>
      </c>
    </row>
    <row r="565" spans="12:13" x14ac:dyDescent="0.25">
      <c r="L565" s="9" t="str">
        <f t="shared" si="16"/>
        <v>#N/A</v>
      </c>
      <c r="M565" s="9">
        <f t="shared" si="17"/>
        <v>0</v>
      </c>
    </row>
    <row r="566" spans="12:13" x14ac:dyDescent="0.25">
      <c r="L566" s="9" t="str">
        <f t="shared" si="16"/>
        <v>#N/A</v>
      </c>
      <c r="M566" s="9">
        <f t="shared" si="17"/>
        <v>0</v>
      </c>
    </row>
    <row r="567" spans="12:13" x14ac:dyDescent="0.25">
      <c r="L567" s="9" t="str">
        <f t="shared" si="16"/>
        <v>#N/A</v>
      </c>
      <c r="M567" s="9">
        <f t="shared" si="17"/>
        <v>0</v>
      </c>
    </row>
    <row r="568" spans="12:13" x14ac:dyDescent="0.25">
      <c r="L568" s="9" t="str">
        <f t="shared" si="16"/>
        <v>#N/A</v>
      </c>
      <c r="M568" s="9">
        <f t="shared" si="17"/>
        <v>0</v>
      </c>
    </row>
    <row r="569" spans="12:13" x14ac:dyDescent="0.25">
      <c r="L569" s="9" t="str">
        <f t="shared" si="16"/>
        <v>#N/A</v>
      </c>
      <c r="M569" s="9">
        <f t="shared" si="17"/>
        <v>0</v>
      </c>
    </row>
    <row r="570" spans="12:13" x14ac:dyDescent="0.25">
      <c r="L570" s="9" t="str">
        <f t="shared" si="16"/>
        <v>#N/A</v>
      </c>
      <c r="M570" s="9">
        <f t="shared" si="17"/>
        <v>0</v>
      </c>
    </row>
    <row r="571" spans="12:13" x14ac:dyDescent="0.25">
      <c r="L571" s="9" t="str">
        <f t="shared" si="16"/>
        <v>#N/A</v>
      </c>
      <c r="M571" s="9">
        <f t="shared" si="17"/>
        <v>0</v>
      </c>
    </row>
    <row r="572" spans="12:13" x14ac:dyDescent="0.25">
      <c r="L572" s="9" t="str">
        <f t="shared" si="16"/>
        <v>#N/A</v>
      </c>
      <c r="M572" s="9">
        <f t="shared" si="17"/>
        <v>0</v>
      </c>
    </row>
    <row r="573" spans="12:13" x14ac:dyDescent="0.25">
      <c r="L573" s="9" t="str">
        <f t="shared" si="16"/>
        <v>#N/A</v>
      </c>
      <c r="M573" s="9">
        <f t="shared" si="17"/>
        <v>0</v>
      </c>
    </row>
    <row r="574" spans="12:13" x14ac:dyDescent="0.25">
      <c r="L574" s="9" t="str">
        <f t="shared" si="16"/>
        <v>#N/A</v>
      </c>
      <c r="M574" s="9">
        <f t="shared" si="17"/>
        <v>0</v>
      </c>
    </row>
    <row r="575" spans="12:13" x14ac:dyDescent="0.25">
      <c r="L575" s="9" t="str">
        <f t="shared" si="16"/>
        <v>#N/A</v>
      </c>
      <c r="M575" s="9">
        <f t="shared" si="17"/>
        <v>0</v>
      </c>
    </row>
    <row r="576" spans="12:13" x14ac:dyDescent="0.25">
      <c r="L576" s="9" t="str">
        <f t="shared" si="16"/>
        <v>#N/A</v>
      </c>
      <c r="M576" s="9">
        <f t="shared" si="17"/>
        <v>0</v>
      </c>
    </row>
    <row r="577" spans="12:13" x14ac:dyDescent="0.25">
      <c r="L577" s="9" t="str">
        <f t="shared" si="16"/>
        <v>#N/A</v>
      </c>
      <c r="M577" s="9">
        <f t="shared" si="17"/>
        <v>0</v>
      </c>
    </row>
    <row r="578" spans="12:13" x14ac:dyDescent="0.25">
      <c r="L578" s="9" t="str">
        <f t="shared" ref="L578:L641" si="18">IF((D578^2+(B578*$K$2)^2)&gt;0,1/(D578^2+(B578*$K$2)^2),"#N/A")</f>
        <v>#N/A</v>
      </c>
      <c r="M578" s="9">
        <f t="shared" si="17"/>
        <v>0</v>
      </c>
    </row>
    <row r="579" spans="12:13" x14ac:dyDescent="0.25">
      <c r="L579" s="9" t="str">
        <f t="shared" si="18"/>
        <v>#N/A</v>
      </c>
      <c r="M579" s="9">
        <f t="shared" ref="M579:M642" si="19">IF(B579*$K$2&gt;D579*10,1,0)</f>
        <v>0</v>
      </c>
    </row>
    <row r="580" spans="12:13" x14ac:dyDescent="0.25">
      <c r="L580" s="9" t="str">
        <f t="shared" si="18"/>
        <v>#N/A</v>
      </c>
      <c r="M580" s="9">
        <f t="shared" si="19"/>
        <v>0</v>
      </c>
    </row>
    <row r="581" spans="12:13" x14ac:dyDescent="0.25">
      <c r="L581" s="9" t="str">
        <f t="shared" si="18"/>
        <v>#N/A</v>
      </c>
      <c r="M581" s="9">
        <f t="shared" si="19"/>
        <v>0</v>
      </c>
    </row>
    <row r="582" spans="12:13" x14ac:dyDescent="0.25">
      <c r="L582" s="9" t="str">
        <f t="shared" si="18"/>
        <v>#N/A</v>
      </c>
      <c r="M582" s="9">
        <f t="shared" si="19"/>
        <v>0</v>
      </c>
    </row>
    <row r="583" spans="12:13" x14ac:dyDescent="0.25">
      <c r="L583" s="9" t="str">
        <f t="shared" si="18"/>
        <v>#N/A</v>
      </c>
      <c r="M583" s="9">
        <f t="shared" si="19"/>
        <v>0</v>
      </c>
    </row>
    <row r="584" spans="12:13" x14ac:dyDescent="0.25">
      <c r="L584" s="9" t="str">
        <f t="shared" si="18"/>
        <v>#N/A</v>
      </c>
      <c r="M584" s="9">
        <f t="shared" si="19"/>
        <v>0</v>
      </c>
    </row>
    <row r="585" spans="12:13" x14ac:dyDescent="0.25">
      <c r="L585" s="9" t="str">
        <f t="shared" si="18"/>
        <v>#N/A</v>
      </c>
      <c r="M585" s="9">
        <f t="shared" si="19"/>
        <v>0</v>
      </c>
    </row>
    <row r="586" spans="12:13" x14ac:dyDescent="0.25">
      <c r="L586" s="9" t="str">
        <f t="shared" si="18"/>
        <v>#N/A</v>
      </c>
      <c r="M586" s="9">
        <f t="shared" si="19"/>
        <v>0</v>
      </c>
    </row>
    <row r="587" spans="12:13" x14ac:dyDescent="0.25">
      <c r="L587" s="9" t="str">
        <f t="shared" si="18"/>
        <v>#N/A</v>
      </c>
      <c r="M587" s="9">
        <f t="shared" si="19"/>
        <v>0</v>
      </c>
    </row>
    <row r="588" spans="12:13" x14ac:dyDescent="0.25">
      <c r="L588" s="9" t="str">
        <f t="shared" si="18"/>
        <v>#N/A</v>
      </c>
      <c r="M588" s="9">
        <f t="shared" si="19"/>
        <v>0</v>
      </c>
    </row>
    <row r="589" spans="12:13" x14ac:dyDescent="0.25">
      <c r="L589" s="9" t="str">
        <f t="shared" si="18"/>
        <v>#N/A</v>
      </c>
      <c r="M589" s="9">
        <f t="shared" si="19"/>
        <v>0</v>
      </c>
    </row>
    <row r="590" spans="12:13" x14ac:dyDescent="0.25">
      <c r="L590" s="9" t="str">
        <f t="shared" si="18"/>
        <v>#N/A</v>
      </c>
      <c r="M590" s="9">
        <f t="shared" si="19"/>
        <v>0</v>
      </c>
    </row>
    <row r="591" spans="12:13" x14ac:dyDescent="0.25">
      <c r="L591" s="9" t="str">
        <f t="shared" si="18"/>
        <v>#N/A</v>
      </c>
      <c r="M591" s="9">
        <f t="shared" si="19"/>
        <v>0</v>
      </c>
    </row>
    <row r="592" spans="12:13" x14ac:dyDescent="0.25">
      <c r="L592" s="9" t="str">
        <f t="shared" si="18"/>
        <v>#N/A</v>
      </c>
      <c r="M592" s="9">
        <f t="shared" si="19"/>
        <v>0</v>
      </c>
    </row>
    <row r="593" spans="12:13" x14ac:dyDescent="0.25">
      <c r="L593" s="9" t="str">
        <f t="shared" si="18"/>
        <v>#N/A</v>
      </c>
      <c r="M593" s="9">
        <f t="shared" si="19"/>
        <v>0</v>
      </c>
    </row>
    <row r="594" spans="12:13" x14ac:dyDescent="0.25">
      <c r="L594" s="9" t="str">
        <f t="shared" si="18"/>
        <v>#N/A</v>
      </c>
      <c r="M594" s="9">
        <f t="shared" si="19"/>
        <v>0</v>
      </c>
    </row>
    <row r="595" spans="12:13" x14ac:dyDescent="0.25">
      <c r="L595" s="9" t="str">
        <f t="shared" si="18"/>
        <v>#N/A</v>
      </c>
      <c r="M595" s="9">
        <f t="shared" si="19"/>
        <v>0</v>
      </c>
    </row>
    <row r="596" spans="12:13" x14ac:dyDescent="0.25">
      <c r="L596" s="9" t="str">
        <f t="shared" si="18"/>
        <v>#N/A</v>
      </c>
      <c r="M596" s="9">
        <f t="shared" si="19"/>
        <v>0</v>
      </c>
    </row>
    <row r="597" spans="12:13" x14ac:dyDescent="0.25">
      <c r="L597" s="9" t="str">
        <f t="shared" si="18"/>
        <v>#N/A</v>
      </c>
      <c r="M597" s="9">
        <f t="shared" si="19"/>
        <v>0</v>
      </c>
    </row>
    <row r="598" spans="12:13" x14ac:dyDescent="0.25">
      <c r="L598" s="9" t="str">
        <f t="shared" si="18"/>
        <v>#N/A</v>
      </c>
      <c r="M598" s="9">
        <f t="shared" si="19"/>
        <v>0</v>
      </c>
    </row>
    <row r="599" spans="12:13" x14ac:dyDescent="0.25">
      <c r="L599" s="9" t="str">
        <f t="shared" si="18"/>
        <v>#N/A</v>
      </c>
      <c r="M599" s="9">
        <f t="shared" si="19"/>
        <v>0</v>
      </c>
    </row>
    <row r="600" spans="12:13" x14ac:dyDescent="0.25">
      <c r="L600" s="9" t="str">
        <f t="shared" si="18"/>
        <v>#N/A</v>
      </c>
      <c r="M600" s="9">
        <f t="shared" si="19"/>
        <v>0</v>
      </c>
    </row>
    <row r="601" spans="12:13" x14ac:dyDescent="0.25">
      <c r="L601" s="9" t="str">
        <f t="shared" si="18"/>
        <v>#N/A</v>
      </c>
      <c r="M601" s="9">
        <f t="shared" si="19"/>
        <v>0</v>
      </c>
    </row>
    <row r="602" spans="12:13" x14ac:dyDescent="0.25">
      <c r="L602" s="9" t="str">
        <f t="shared" si="18"/>
        <v>#N/A</v>
      </c>
      <c r="M602" s="9">
        <f t="shared" si="19"/>
        <v>0</v>
      </c>
    </row>
    <row r="603" spans="12:13" x14ac:dyDescent="0.25">
      <c r="L603" s="9" t="str">
        <f t="shared" si="18"/>
        <v>#N/A</v>
      </c>
      <c r="M603" s="9">
        <f t="shared" si="19"/>
        <v>0</v>
      </c>
    </row>
    <row r="604" spans="12:13" x14ac:dyDescent="0.25">
      <c r="L604" s="9" t="str">
        <f t="shared" si="18"/>
        <v>#N/A</v>
      </c>
      <c r="M604" s="9">
        <f t="shared" si="19"/>
        <v>0</v>
      </c>
    </row>
    <row r="605" spans="12:13" x14ac:dyDescent="0.25">
      <c r="L605" s="9" t="str">
        <f t="shared" si="18"/>
        <v>#N/A</v>
      </c>
      <c r="M605" s="9">
        <f t="shared" si="19"/>
        <v>0</v>
      </c>
    </row>
    <row r="606" spans="12:13" x14ac:dyDescent="0.25">
      <c r="L606" s="9" t="str">
        <f t="shared" si="18"/>
        <v>#N/A</v>
      </c>
      <c r="M606" s="9">
        <f t="shared" si="19"/>
        <v>0</v>
      </c>
    </row>
    <row r="607" spans="12:13" x14ac:dyDescent="0.25">
      <c r="L607" s="9" t="str">
        <f t="shared" si="18"/>
        <v>#N/A</v>
      </c>
      <c r="M607" s="9">
        <f t="shared" si="19"/>
        <v>0</v>
      </c>
    </row>
    <row r="608" spans="12:13" x14ac:dyDescent="0.25">
      <c r="L608" s="9" t="str">
        <f t="shared" si="18"/>
        <v>#N/A</v>
      </c>
      <c r="M608" s="9">
        <f t="shared" si="19"/>
        <v>0</v>
      </c>
    </row>
    <row r="609" spans="12:13" x14ac:dyDescent="0.25">
      <c r="L609" s="9" t="str">
        <f t="shared" si="18"/>
        <v>#N/A</v>
      </c>
      <c r="M609" s="9">
        <f t="shared" si="19"/>
        <v>0</v>
      </c>
    </row>
    <row r="610" spans="12:13" x14ac:dyDescent="0.25">
      <c r="L610" s="9" t="str">
        <f t="shared" si="18"/>
        <v>#N/A</v>
      </c>
      <c r="M610" s="9">
        <f t="shared" si="19"/>
        <v>0</v>
      </c>
    </row>
    <row r="611" spans="12:13" x14ac:dyDescent="0.25">
      <c r="L611" s="9" t="str">
        <f t="shared" si="18"/>
        <v>#N/A</v>
      </c>
      <c r="M611" s="9">
        <f t="shared" si="19"/>
        <v>0</v>
      </c>
    </row>
    <row r="612" spans="12:13" x14ac:dyDescent="0.25">
      <c r="L612" s="9" t="str">
        <f t="shared" si="18"/>
        <v>#N/A</v>
      </c>
      <c r="M612" s="9">
        <f t="shared" si="19"/>
        <v>0</v>
      </c>
    </row>
    <row r="613" spans="12:13" x14ac:dyDescent="0.25">
      <c r="L613" s="9" t="str">
        <f t="shared" si="18"/>
        <v>#N/A</v>
      </c>
      <c r="M613" s="9">
        <f t="shared" si="19"/>
        <v>0</v>
      </c>
    </row>
    <row r="614" spans="12:13" x14ac:dyDescent="0.25">
      <c r="L614" s="9" t="str">
        <f t="shared" si="18"/>
        <v>#N/A</v>
      </c>
      <c r="M614" s="9">
        <f t="shared" si="19"/>
        <v>0</v>
      </c>
    </row>
    <row r="615" spans="12:13" x14ac:dyDescent="0.25">
      <c r="L615" s="9" t="str">
        <f t="shared" si="18"/>
        <v>#N/A</v>
      </c>
      <c r="M615" s="9">
        <f t="shared" si="19"/>
        <v>0</v>
      </c>
    </row>
    <row r="616" spans="12:13" x14ac:dyDescent="0.25">
      <c r="L616" s="9" t="str">
        <f t="shared" si="18"/>
        <v>#N/A</v>
      </c>
      <c r="M616" s="9">
        <f t="shared" si="19"/>
        <v>0</v>
      </c>
    </row>
    <row r="617" spans="12:13" x14ac:dyDescent="0.25">
      <c r="L617" s="9" t="str">
        <f t="shared" si="18"/>
        <v>#N/A</v>
      </c>
      <c r="M617" s="9">
        <f t="shared" si="19"/>
        <v>0</v>
      </c>
    </row>
    <row r="618" spans="12:13" x14ac:dyDescent="0.25">
      <c r="L618" s="9" t="str">
        <f t="shared" si="18"/>
        <v>#N/A</v>
      </c>
      <c r="M618" s="9">
        <f t="shared" si="19"/>
        <v>0</v>
      </c>
    </row>
    <row r="619" spans="12:13" x14ac:dyDescent="0.25">
      <c r="L619" s="9" t="str">
        <f t="shared" si="18"/>
        <v>#N/A</v>
      </c>
      <c r="M619" s="9">
        <f t="shared" si="19"/>
        <v>0</v>
      </c>
    </row>
    <row r="620" spans="12:13" x14ac:dyDescent="0.25">
      <c r="L620" s="9" t="str">
        <f t="shared" si="18"/>
        <v>#N/A</v>
      </c>
      <c r="M620" s="9">
        <f t="shared" si="19"/>
        <v>0</v>
      </c>
    </row>
    <row r="621" spans="12:13" x14ac:dyDescent="0.25">
      <c r="L621" s="9" t="str">
        <f t="shared" si="18"/>
        <v>#N/A</v>
      </c>
      <c r="M621" s="9">
        <f t="shared" si="19"/>
        <v>0</v>
      </c>
    </row>
    <row r="622" spans="12:13" x14ac:dyDescent="0.25">
      <c r="L622" s="9" t="str">
        <f t="shared" si="18"/>
        <v>#N/A</v>
      </c>
      <c r="M622" s="9">
        <f t="shared" si="19"/>
        <v>0</v>
      </c>
    </row>
    <row r="623" spans="12:13" x14ac:dyDescent="0.25">
      <c r="L623" s="9" t="str">
        <f t="shared" si="18"/>
        <v>#N/A</v>
      </c>
      <c r="M623" s="9">
        <f t="shared" si="19"/>
        <v>0</v>
      </c>
    </row>
    <row r="624" spans="12:13" x14ac:dyDescent="0.25">
      <c r="L624" s="9" t="str">
        <f t="shared" si="18"/>
        <v>#N/A</v>
      </c>
      <c r="M624" s="9">
        <f t="shared" si="19"/>
        <v>0</v>
      </c>
    </row>
    <row r="625" spans="12:13" x14ac:dyDescent="0.25">
      <c r="L625" s="9" t="str">
        <f t="shared" si="18"/>
        <v>#N/A</v>
      </c>
      <c r="M625" s="9">
        <f t="shared" si="19"/>
        <v>0</v>
      </c>
    </row>
    <row r="626" spans="12:13" x14ac:dyDescent="0.25">
      <c r="L626" s="9" t="str">
        <f t="shared" si="18"/>
        <v>#N/A</v>
      </c>
      <c r="M626" s="9">
        <f t="shared" si="19"/>
        <v>0</v>
      </c>
    </row>
    <row r="627" spans="12:13" x14ac:dyDescent="0.25">
      <c r="L627" s="9" t="str">
        <f t="shared" si="18"/>
        <v>#N/A</v>
      </c>
      <c r="M627" s="9">
        <f t="shared" si="19"/>
        <v>0</v>
      </c>
    </row>
    <row r="628" spans="12:13" x14ac:dyDescent="0.25">
      <c r="L628" s="9" t="str">
        <f t="shared" si="18"/>
        <v>#N/A</v>
      </c>
      <c r="M628" s="9">
        <f t="shared" si="19"/>
        <v>0</v>
      </c>
    </row>
    <row r="629" spans="12:13" x14ac:dyDescent="0.25">
      <c r="L629" s="9" t="str">
        <f t="shared" si="18"/>
        <v>#N/A</v>
      </c>
      <c r="M629" s="9">
        <f t="shared" si="19"/>
        <v>0</v>
      </c>
    </row>
    <row r="630" spans="12:13" x14ac:dyDescent="0.25">
      <c r="L630" s="9" t="str">
        <f t="shared" si="18"/>
        <v>#N/A</v>
      </c>
      <c r="M630" s="9">
        <f t="shared" si="19"/>
        <v>0</v>
      </c>
    </row>
    <row r="631" spans="12:13" x14ac:dyDescent="0.25">
      <c r="L631" s="9" t="str">
        <f t="shared" si="18"/>
        <v>#N/A</v>
      </c>
      <c r="M631" s="9">
        <f t="shared" si="19"/>
        <v>0</v>
      </c>
    </row>
    <row r="632" spans="12:13" x14ac:dyDescent="0.25">
      <c r="L632" s="9" t="str">
        <f t="shared" si="18"/>
        <v>#N/A</v>
      </c>
      <c r="M632" s="9">
        <f t="shared" si="19"/>
        <v>0</v>
      </c>
    </row>
    <row r="633" spans="12:13" x14ac:dyDescent="0.25">
      <c r="L633" s="9" t="str">
        <f t="shared" si="18"/>
        <v>#N/A</v>
      </c>
      <c r="M633" s="9">
        <f t="shared" si="19"/>
        <v>0</v>
      </c>
    </row>
    <row r="634" spans="12:13" x14ac:dyDescent="0.25">
      <c r="L634" s="9" t="str">
        <f t="shared" si="18"/>
        <v>#N/A</v>
      </c>
      <c r="M634" s="9">
        <f t="shared" si="19"/>
        <v>0</v>
      </c>
    </row>
    <row r="635" spans="12:13" x14ac:dyDescent="0.25">
      <c r="L635" s="9" t="str">
        <f t="shared" si="18"/>
        <v>#N/A</v>
      </c>
      <c r="M635" s="9">
        <f t="shared" si="19"/>
        <v>0</v>
      </c>
    </row>
    <row r="636" spans="12:13" x14ac:dyDescent="0.25">
      <c r="L636" s="9" t="str">
        <f t="shared" si="18"/>
        <v>#N/A</v>
      </c>
      <c r="M636" s="9">
        <f t="shared" si="19"/>
        <v>0</v>
      </c>
    </row>
    <row r="637" spans="12:13" x14ac:dyDescent="0.25">
      <c r="L637" s="9" t="str">
        <f t="shared" si="18"/>
        <v>#N/A</v>
      </c>
      <c r="M637" s="9">
        <f t="shared" si="19"/>
        <v>0</v>
      </c>
    </row>
    <row r="638" spans="12:13" x14ac:dyDescent="0.25">
      <c r="L638" s="9" t="str">
        <f t="shared" si="18"/>
        <v>#N/A</v>
      </c>
      <c r="M638" s="9">
        <f t="shared" si="19"/>
        <v>0</v>
      </c>
    </row>
    <row r="639" spans="12:13" x14ac:dyDescent="0.25">
      <c r="L639" s="9" t="str">
        <f t="shared" si="18"/>
        <v>#N/A</v>
      </c>
      <c r="M639" s="9">
        <f t="shared" si="19"/>
        <v>0</v>
      </c>
    </row>
    <row r="640" spans="12:13" x14ac:dyDescent="0.25">
      <c r="L640" s="9" t="str">
        <f t="shared" si="18"/>
        <v>#N/A</v>
      </c>
      <c r="M640" s="9">
        <f t="shared" si="19"/>
        <v>0</v>
      </c>
    </row>
    <row r="641" spans="12:13" x14ac:dyDescent="0.25">
      <c r="L641" s="9" t="str">
        <f t="shared" si="18"/>
        <v>#N/A</v>
      </c>
      <c r="M641" s="9">
        <f t="shared" si="19"/>
        <v>0</v>
      </c>
    </row>
    <row r="642" spans="12:13" x14ac:dyDescent="0.25">
      <c r="L642" s="9" t="str">
        <f t="shared" ref="L642:L705" si="20">IF((D642^2+(B642*$K$2)^2)&gt;0,1/(D642^2+(B642*$K$2)^2),"#N/A")</f>
        <v>#N/A</v>
      </c>
      <c r="M642" s="9">
        <f t="shared" si="19"/>
        <v>0</v>
      </c>
    </row>
    <row r="643" spans="12:13" x14ac:dyDescent="0.25">
      <c r="L643" s="9" t="str">
        <f t="shared" si="20"/>
        <v>#N/A</v>
      </c>
      <c r="M643" s="9">
        <f t="shared" ref="M643:M706" si="21">IF(B643*$K$2&gt;D643*10,1,0)</f>
        <v>0</v>
      </c>
    </row>
    <row r="644" spans="12:13" x14ac:dyDescent="0.25">
      <c r="L644" s="9" t="str">
        <f t="shared" si="20"/>
        <v>#N/A</v>
      </c>
      <c r="M644" s="9">
        <f t="shared" si="21"/>
        <v>0</v>
      </c>
    </row>
    <row r="645" spans="12:13" x14ac:dyDescent="0.25">
      <c r="L645" s="9" t="str">
        <f t="shared" si="20"/>
        <v>#N/A</v>
      </c>
      <c r="M645" s="9">
        <f t="shared" si="21"/>
        <v>0</v>
      </c>
    </row>
    <row r="646" spans="12:13" x14ac:dyDescent="0.25">
      <c r="L646" s="9" t="str">
        <f t="shared" si="20"/>
        <v>#N/A</v>
      </c>
      <c r="M646" s="9">
        <f t="shared" si="21"/>
        <v>0</v>
      </c>
    </row>
    <row r="647" spans="12:13" x14ac:dyDescent="0.25">
      <c r="L647" s="9" t="str">
        <f t="shared" si="20"/>
        <v>#N/A</v>
      </c>
      <c r="M647" s="9">
        <f t="shared" si="21"/>
        <v>0</v>
      </c>
    </row>
    <row r="648" spans="12:13" x14ac:dyDescent="0.25">
      <c r="L648" s="9" t="str">
        <f t="shared" si="20"/>
        <v>#N/A</v>
      </c>
      <c r="M648" s="9">
        <f t="shared" si="21"/>
        <v>0</v>
      </c>
    </row>
    <row r="649" spans="12:13" x14ac:dyDescent="0.25">
      <c r="L649" s="9" t="str">
        <f t="shared" si="20"/>
        <v>#N/A</v>
      </c>
      <c r="M649" s="9">
        <f t="shared" si="21"/>
        <v>0</v>
      </c>
    </row>
    <row r="650" spans="12:13" x14ac:dyDescent="0.25">
      <c r="L650" s="9" t="str">
        <f t="shared" si="20"/>
        <v>#N/A</v>
      </c>
      <c r="M650" s="9">
        <f t="shared" si="21"/>
        <v>0</v>
      </c>
    </row>
    <row r="651" spans="12:13" x14ac:dyDescent="0.25">
      <c r="L651" s="9" t="str">
        <f t="shared" si="20"/>
        <v>#N/A</v>
      </c>
      <c r="M651" s="9">
        <f t="shared" si="21"/>
        <v>0</v>
      </c>
    </row>
    <row r="652" spans="12:13" x14ac:dyDescent="0.25">
      <c r="L652" s="9" t="str">
        <f t="shared" si="20"/>
        <v>#N/A</v>
      </c>
      <c r="M652" s="9">
        <f t="shared" si="21"/>
        <v>0</v>
      </c>
    </row>
    <row r="653" spans="12:13" x14ac:dyDescent="0.25">
      <c r="L653" s="9" t="str">
        <f t="shared" si="20"/>
        <v>#N/A</v>
      </c>
      <c r="M653" s="9">
        <f t="shared" si="21"/>
        <v>0</v>
      </c>
    </row>
    <row r="654" spans="12:13" x14ac:dyDescent="0.25">
      <c r="L654" s="9" t="str">
        <f t="shared" si="20"/>
        <v>#N/A</v>
      </c>
      <c r="M654" s="9">
        <f t="shared" si="21"/>
        <v>0</v>
      </c>
    </row>
    <row r="655" spans="12:13" x14ac:dyDescent="0.25">
      <c r="L655" s="9" t="str">
        <f t="shared" si="20"/>
        <v>#N/A</v>
      </c>
      <c r="M655" s="9">
        <f t="shared" si="21"/>
        <v>0</v>
      </c>
    </row>
    <row r="656" spans="12:13" x14ac:dyDescent="0.25">
      <c r="L656" s="9" t="str">
        <f t="shared" si="20"/>
        <v>#N/A</v>
      </c>
      <c r="M656" s="9">
        <f t="shared" si="21"/>
        <v>0</v>
      </c>
    </row>
    <row r="657" spans="12:13" x14ac:dyDescent="0.25">
      <c r="L657" s="9" t="str">
        <f t="shared" si="20"/>
        <v>#N/A</v>
      </c>
      <c r="M657" s="9">
        <f t="shared" si="21"/>
        <v>0</v>
      </c>
    </row>
    <row r="658" spans="12:13" x14ac:dyDescent="0.25">
      <c r="L658" s="9" t="str">
        <f t="shared" si="20"/>
        <v>#N/A</v>
      </c>
      <c r="M658" s="9">
        <f t="shared" si="21"/>
        <v>0</v>
      </c>
    </row>
    <row r="659" spans="12:13" x14ac:dyDescent="0.25">
      <c r="L659" s="9" t="str">
        <f t="shared" si="20"/>
        <v>#N/A</v>
      </c>
      <c r="M659" s="9">
        <f t="shared" si="21"/>
        <v>0</v>
      </c>
    </row>
    <row r="660" spans="12:13" x14ac:dyDescent="0.25">
      <c r="L660" s="9" t="str">
        <f t="shared" si="20"/>
        <v>#N/A</v>
      </c>
      <c r="M660" s="9">
        <f t="shared" si="21"/>
        <v>0</v>
      </c>
    </row>
    <row r="661" spans="12:13" x14ac:dyDescent="0.25">
      <c r="L661" s="9" t="str">
        <f t="shared" si="20"/>
        <v>#N/A</v>
      </c>
      <c r="M661" s="9">
        <f t="shared" si="21"/>
        <v>0</v>
      </c>
    </row>
    <row r="662" spans="12:13" x14ac:dyDescent="0.25">
      <c r="L662" s="9" t="str">
        <f t="shared" si="20"/>
        <v>#N/A</v>
      </c>
      <c r="M662" s="9">
        <f t="shared" si="21"/>
        <v>0</v>
      </c>
    </row>
    <row r="663" spans="12:13" x14ac:dyDescent="0.25">
      <c r="L663" s="9" t="str">
        <f t="shared" si="20"/>
        <v>#N/A</v>
      </c>
      <c r="M663" s="9">
        <f t="shared" si="21"/>
        <v>0</v>
      </c>
    </row>
    <row r="664" spans="12:13" x14ac:dyDescent="0.25">
      <c r="L664" s="9" t="str">
        <f t="shared" si="20"/>
        <v>#N/A</v>
      </c>
      <c r="M664" s="9">
        <f t="shared" si="21"/>
        <v>0</v>
      </c>
    </row>
    <row r="665" spans="12:13" x14ac:dyDescent="0.25">
      <c r="L665" s="9" t="str">
        <f t="shared" si="20"/>
        <v>#N/A</v>
      </c>
      <c r="M665" s="9">
        <f t="shared" si="21"/>
        <v>0</v>
      </c>
    </row>
    <row r="666" spans="12:13" x14ac:dyDescent="0.25">
      <c r="L666" s="9" t="str">
        <f t="shared" si="20"/>
        <v>#N/A</v>
      </c>
      <c r="M666" s="9">
        <f t="shared" si="21"/>
        <v>0</v>
      </c>
    </row>
    <row r="667" spans="12:13" x14ac:dyDescent="0.25">
      <c r="L667" s="9" t="str">
        <f t="shared" si="20"/>
        <v>#N/A</v>
      </c>
      <c r="M667" s="9">
        <f t="shared" si="21"/>
        <v>0</v>
      </c>
    </row>
    <row r="668" spans="12:13" x14ac:dyDescent="0.25">
      <c r="L668" s="9" t="str">
        <f t="shared" si="20"/>
        <v>#N/A</v>
      </c>
      <c r="M668" s="9">
        <f t="shared" si="21"/>
        <v>0</v>
      </c>
    </row>
    <row r="669" spans="12:13" x14ac:dyDescent="0.25">
      <c r="L669" s="9" t="str">
        <f t="shared" si="20"/>
        <v>#N/A</v>
      </c>
      <c r="M669" s="9">
        <f t="shared" si="21"/>
        <v>0</v>
      </c>
    </row>
    <row r="670" spans="12:13" x14ac:dyDescent="0.25">
      <c r="L670" s="9" t="str">
        <f t="shared" si="20"/>
        <v>#N/A</v>
      </c>
      <c r="M670" s="9">
        <f t="shared" si="21"/>
        <v>0</v>
      </c>
    </row>
    <row r="671" spans="12:13" x14ac:dyDescent="0.25">
      <c r="L671" s="9" t="str">
        <f t="shared" si="20"/>
        <v>#N/A</v>
      </c>
      <c r="M671" s="9">
        <f t="shared" si="21"/>
        <v>0</v>
      </c>
    </row>
    <row r="672" spans="12:13" x14ac:dyDescent="0.25">
      <c r="L672" s="9" t="str">
        <f t="shared" si="20"/>
        <v>#N/A</v>
      </c>
      <c r="M672" s="9">
        <f t="shared" si="21"/>
        <v>0</v>
      </c>
    </row>
    <row r="673" spans="12:13" x14ac:dyDescent="0.25">
      <c r="L673" s="9" t="str">
        <f t="shared" si="20"/>
        <v>#N/A</v>
      </c>
      <c r="M673" s="9">
        <f t="shared" si="21"/>
        <v>0</v>
      </c>
    </row>
    <row r="674" spans="12:13" x14ac:dyDescent="0.25">
      <c r="L674" s="9" t="str">
        <f t="shared" si="20"/>
        <v>#N/A</v>
      </c>
      <c r="M674" s="9">
        <f t="shared" si="21"/>
        <v>0</v>
      </c>
    </row>
    <row r="675" spans="12:13" x14ac:dyDescent="0.25">
      <c r="L675" s="9" t="str">
        <f t="shared" si="20"/>
        <v>#N/A</v>
      </c>
      <c r="M675" s="9">
        <f t="shared" si="21"/>
        <v>0</v>
      </c>
    </row>
    <row r="676" spans="12:13" x14ac:dyDescent="0.25">
      <c r="L676" s="9" t="str">
        <f t="shared" si="20"/>
        <v>#N/A</v>
      </c>
      <c r="M676" s="9">
        <f t="shared" si="21"/>
        <v>0</v>
      </c>
    </row>
    <row r="677" spans="12:13" x14ac:dyDescent="0.25">
      <c r="L677" s="9" t="str">
        <f t="shared" si="20"/>
        <v>#N/A</v>
      </c>
      <c r="M677" s="9">
        <f t="shared" si="21"/>
        <v>0</v>
      </c>
    </row>
    <row r="678" spans="12:13" x14ac:dyDescent="0.25">
      <c r="L678" s="9" t="str">
        <f t="shared" si="20"/>
        <v>#N/A</v>
      </c>
      <c r="M678" s="9">
        <f t="shared" si="21"/>
        <v>0</v>
      </c>
    </row>
    <row r="679" spans="12:13" x14ac:dyDescent="0.25">
      <c r="L679" s="9" t="str">
        <f t="shared" si="20"/>
        <v>#N/A</v>
      </c>
      <c r="M679" s="9">
        <f t="shared" si="21"/>
        <v>0</v>
      </c>
    </row>
    <row r="680" spans="12:13" x14ac:dyDescent="0.25">
      <c r="L680" s="9" t="str">
        <f t="shared" si="20"/>
        <v>#N/A</v>
      </c>
      <c r="M680" s="9">
        <f t="shared" si="21"/>
        <v>0</v>
      </c>
    </row>
    <row r="681" spans="12:13" x14ac:dyDescent="0.25">
      <c r="L681" s="9" t="str">
        <f t="shared" si="20"/>
        <v>#N/A</v>
      </c>
      <c r="M681" s="9">
        <f t="shared" si="21"/>
        <v>0</v>
      </c>
    </row>
    <row r="682" spans="12:13" x14ac:dyDescent="0.25">
      <c r="L682" s="9" t="str">
        <f t="shared" si="20"/>
        <v>#N/A</v>
      </c>
      <c r="M682" s="9">
        <f t="shared" si="21"/>
        <v>0</v>
      </c>
    </row>
    <row r="683" spans="12:13" x14ac:dyDescent="0.25">
      <c r="L683" s="9" t="str">
        <f t="shared" si="20"/>
        <v>#N/A</v>
      </c>
      <c r="M683" s="9">
        <f t="shared" si="21"/>
        <v>0</v>
      </c>
    </row>
    <row r="684" spans="12:13" x14ac:dyDescent="0.25">
      <c r="L684" s="9" t="str">
        <f t="shared" si="20"/>
        <v>#N/A</v>
      </c>
      <c r="M684" s="9">
        <f t="shared" si="21"/>
        <v>0</v>
      </c>
    </row>
    <row r="685" spans="12:13" x14ac:dyDescent="0.25">
      <c r="L685" s="9" t="str">
        <f t="shared" si="20"/>
        <v>#N/A</v>
      </c>
      <c r="M685" s="9">
        <f t="shared" si="21"/>
        <v>0</v>
      </c>
    </row>
    <row r="686" spans="12:13" x14ac:dyDescent="0.25">
      <c r="L686" s="9" t="str">
        <f t="shared" si="20"/>
        <v>#N/A</v>
      </c>
      <c r="M686" s="9">
        <f t="shared" si="21"/>
        <v>0</v>
      </c>
    </row>
    <row r="687" spans="12:13" x14ac:dyDescent="0.25">
      <c r="L687" s="9" t="str">
        <f t="shared" si="20"/>
        <v>#N/A</v>
      </c>
      <c r="M687" s="9">
        <f t="shared" si="21"/>
        <v>0</v>
      </c>
    </row>
    <row r="688" spans="12:13" x14ac:dyDescent="0.25">
      <c r="L688" s="9" t="str">
        <f t="shared" si="20"/>
        <v>#N/A</v>
      </c>
      <c r="M688" s="9">
        <f t="shared" si="21"/>
        <v>0</v>
      </c>
    </row>
    <row r="689" spans="12:13" x14ac:dyDescent="0.25">
      <c r="L689" s="9" t="str">
        <f t="shared" si="20"/>
        <v>#N/A</v>
      </c>
      <c r="M689" s="9">
        <f t="shared" si="21"/>
        <v>0</v>
      </c>
    </row>
    <row r="690" spans="12:13" x14ac:dyDescent="0.25">
      <c r="L690" s="9" t="str">
        <f t="shared" si="20"/>
        <v>#N/A</v>
      </c>
      <c r="M690" s="9">
        <f t="shared" si="21"/>
        <v>0</v>
      </c>
    </row>
    <row r="691" spans="12:13" x14ac:dyDescent="0.25">
      <c r="L691" s="9" t="str">
        <f t="shared" si="20"/>
        <v>#N/A</v>
      </c>
      <c r="M691" s="9">
        <f t="shared" si="21"/>
        <v>0</v>
      </c>
    </row>
    <row r="692" spans="12:13" x14ac:dyDescent="0.25">
      <c r="L692" s="9" t="str">
        <f t="shared" si="20"/>
        <v>#N/A</v>
      </c>
      <c r="M692" s="9">
        <f t="shared" si="21"/>
        <v>0</v>
      </c>
    </row>
    <row r="693" spans="12:13" x14ac:dyDescent="0.25">
      <c r="L693" s="9" t="str">
        <f t="shared" si="20"/>
        <v>#N/A</v>
      </c>
      <c r="M693" s="9">
        <f t="shared" si="21"/>
        <v>0</v>
      </c>
    </row>
    <row r="694" spans="12:13" x14ac:dyDescent="0.25">
      <c r="L694" s="9" t="str">
        <f t="shared" si="20"/>
        <v>#N/A</v>
      </c>
      <c r="M694" s="9">
        <f t="shared" si="21"/>
        <v>0</v>
      </c>
    </row>
    <row r="695" spans="12:13" x14ac:dyDescent="0.25">
      <c r="L695" s="9" t="str">
        <f t="shared" si="20"/>
        <v>#N/A</v>
      </c>
      <c r="M695" s="9">
        <f t="shared" si="21"/>
        <v>0</v>
      </c>
    </row>
    <row r="696" spans="12:13" x14ac:dyDescent="0.25">
      <c r="L696" s="9" t="str">
        <f t="shared" si="20"/>
        <v>#N/A</v>
      </c>
      <c r="M696" s="9">
        <f t="shared" si="21"/>
        <v>0</v>
      </c>
    </row>
    <row r="697" spans="12:13" x14ac:dyDescent="0.25">
      <c r="L697" s="9" t="str">
        <f t="shared" si="20"/>
        <v>#N/A</v>
      </c>
      <c r="M697" s="9">
        <f t="shared" si="21"/>
        <v>0</v>
      </c>
    </row>
    <row r="698" spans="12:13" x14ac:dyDescent="0.25">
      <c r="L698" s="9" t="str">
        <f t="shared" si="20"/>
        <v>#N/A</v>
      </c>
      <c r="M698" s="9">
        <f t="shared" si="21"/>
        <v>0</v>
      </c>
    </row>
    <row r="699" spans="12:13" x14ac:dyDescent="0.25">
      <c r="L699" s="9" t="str">
        <f t="shared" si="20"/>
        <v>#N/A</v>
      </c>
      <c r="M699" s="9">
        <f t="shared" si="21"/>
        <v>0</v>
      </c>
    </row>
    <row r="700" spans="12:13" x14ac:dyDescent="0.25">
      <c r="L700" s="9" t="str">
        <f t="shared" si="20"/>
        <v>#N/A</v>
      </c>
      <c r="M700" s="9">
        <f t="shared" si="21"/>
        <v>0</v>
      </c>
    </row>
    <row r="701" spans="12:13" x14ac:dyDescent="0.25">
      <c r="L701" s="9" t="str">
        <f t="shared" si="20"/>
        <v>#N/A</v>
      </c>
      <c r="M701" s="9">
        <f t="shared" si="21"/>
        <v>0</v>
      </c>
    </row>
    <row r="702" spans="12:13" x14ac:dyDescent="0.25">
      <c r="L702" s="9" t="str">
        <f t="shared" si="20"/>
        <v>#N/A</v>
      </c>
      <c r="M702" s="9">
        <f t="shared" si="21"/>
        <v>0</v>
      </c>
    </row>
    <row r="703" spans="12:13" x14ac:dyDescent="0.25">
      <c r="L703" s="9" t="str">
        <f t="shared" si="20"/>
        <v>#N/A</v>
      </c>
      <c r="M703" s="9">
        <f t="shared" si="21"/>
        <v>0</v>
      </c>
    </row>
    <row r="704" spans="12:13" x14ac:dyDescent="0.25">
      <c r="L704" s="9" t="str">
        <f t="shared" si="20"/>
        <v>#N/A</v>
      </c>
      <c r="M704" s="9">
        <f t="shared" si="21"/>
        <v>0</v>
      </c>
    </row>
    <row r="705" spans="12:13" x14ac:dyDescent="0.25">
      <c r="L705" s="9" t="str">
        <f t="shared" si="20"/>
        <v>#N/A</v>
      </c>
      <c r="M705" s="9">
        <f t="shared" si="21"/>
        <v>0</v>
      </c>
    </row>
    <row r="706" spans="12:13" x14ac:dyDescent="0.25">
      <c r="L706" s="9" t="str">
        <f t="shared" ref="L706:L769" si="22">IF((D706^2+(B706*$K$2)^2)&gt;0,1/(D706^2+(B706*$K$2)^2),"#N/A")</f>
        <v>#N/A</v>
      </c>
      <c r="M706" s="9">
        <f t="shared" si="21"/>
        <v>0</v>
      </c>
    </row>
    <row r="707" spans="12:13" x14ac:dyDescent="0.25">
      <c r="L707" s="9" t="str">
        <f t="shared" si="22"/>
        <v>#N/A</v>
      </c>
      <c r="M707" s="9">
        <f t="shared" ref="M707:M770" si="23">IF(B707*$K$2&gt;D707*10,1,0)</f>
        <v>0</v>
      </c>
    </row>
    <row r="708" spans="12:13" x14ac:dyDescent="0.25">
      <c r="L708" s="9" t="str">
        <f t="shared" si="22"/>
        <v>#N/A</v>
      </c>
      <c r="M708" s="9">
        <f t="shared" si="23"/>
        <v>0</v>
      </c>
    </row>
    <row r="709" spans="12:13" x14ac:dyDescent="0.25">
      <c r="L709" s="9" t="str">
        <f t="shared" si="22"/>
        <v>#N/A</v>
      </c>
      <c r="M709" s="9">
        <f t="shared" si="23"/>
        <v>0</v>
      </c>
    </row>
    <row r="710" spans="12:13" x14ac:dyDescent="0.25">
      <c r="L710" s="9" t="str">
        <f t="shared" si="22"/>
        <v>#N/A</v>
      </c>
      <c r="M710" s="9">
        <f t="shared" si="23"/>
        <v>0</v>
      </c>
    </row>
    <row r="711" spans="12:13" x14ac:dyDescent="0.25">
      <c r="L711" s="9" t="str">
        <f t="shared" si="22"/>
        <v>#N/A</v>
      </c>
      <c r="M711" s="9">
        <f t="shared" si="23"/>
        <v>0</v>
      </c>
    </row>
    <row r="712" spans="12:13" x14ac:dyDescent="0.25">
      <c r="L712" s="9" t="str">
        <f t="shared" si="22"/>
        <v>#N/A</v>
      </c>
      <c r="M712" s="9">
        <f t="shared" si="23"/>
        <v>0</v>
      </c>
    </row>
    <row r="713" spans="12:13" x14ac:dyDescent="0.25">
      <c r="L713" s="9" t="str">
        <f t="shared" si="22"/>
        <v>#N/A</v>
      </c>
      <c r="M713" s="9">
        <f t="shared" si="23"/>
        <v>0</v>
      </c>
    </row>
    <row r="714" spans="12:13" x14ac:dyDescent="0.25">
      <c r="L714" s="9" t="str">
        <f t="shared" si="22"/>
        <v>#N/A</v>
      </c>
      <c r="M714" s="9">
        <f t="shared" si="23"/>
        <v>0</v>
      </c>
    </row>
    <row r="715" spans="12:13" x14ac:dyDescent="0.25">
      <c r="L715" s="9" t="str">
        <f t="shared" si="22"/>
        <v>#N/A</v>
      </c>
      <c r="M715" s="9">
        <f t="shared" si="23"/>
        <v>0</v>
      </c>
    </row>
    <row r="716" spans="12:13" x14ac:dyDescent="0.25">
      <c r="L716" s="9" t="str">
        <f t="shared" si="22"/>
        <v>#N/A</v>
      </c>
      <c r="M716" s="9">
        <f t="shared" si="23"/>
        <v>0</v>
      </c>
    </row>
    <row r="717" spans="12:13" x14ac:dyDescent="0.25">
      <c r="L717" s="9" t="str">
        <f t="shared" si="22"/>
        <v>#N/A</v>
      </c>
      <c r="M717" s="9">
        <f t="shared" si="23"/>
        <v>0</v>
      </c>
    </row>
    <row r="718" spans="12:13" x14ac:dyDescent="0.25">
      <c r="L718" s="9" t="str">
        <f t="shared" si="22"/>
        <v>#N/A</v>
      </c>
      <c r="M718" s="9">
        <f t="shared" si="23"/>
        <v>0</v>
      </c>
    </row>
    <row r="719" spans="12:13" x14ac:dyDescent="0.25">
      <c r="L719" s="9" t="str">
        <f t="shared" si="22"/>
        <v>#N/A</v>
      </c>
      <c r="M719" s="9">
        <f t="shared" si="23"/>
        <v>0</v>
      </c>
    </row>
    <row r="720" spans="12:13" x14ac:dyDescent="0.25">
      <c r="L720" s="9" t="str">
        <f t="shared" si="22"/>
        <v>#N/A</v>
      </c>
      <c r="M720" s="9">
        <f t="shared" si="23"/>
        <v>0</v>
      </c>
    </row>
    <row r="721" spans="12:13" x14ac:dyDescent="0.25">
      <c r="L721" s="9" t="str">
        <f t="shared" si="22"/>
        <v>#N/A</v>
      </c>
      <c r="M721" s="9">
        <f t="shared" si="23"/>
        <v>0</v>
      </c>
    </row>
    <row r="722" spans="12:13" x14ac:dyDescent="0.25">
      <c r="L722" s="9" t="str">
        <f t="shared" si="22"/>
        <v>#N/A</v>
      </c>
      <c r="M722" s="9">
        <f t="shared" si="23"/>
        <v>0</v>
      </c>
    </row>
    <row r="723" spans="12:13" x14ac:dyDescent="0.25">
      <c r="L723" s="9" t="str">
        <f t="shared" si="22"/>
        <v>#N/A</v>
      </c>
      <c r="M723" s="9">
        <f t="shared" si="23"/>
        <v>0</v>
      </c>
    </row>
    <row r="724" spans="12:13" x14ac:dyDescent="0.25">
      <c r="L724" s="9" t="str">
        <f t="shared" si="22"/>
        <v>#N/A</v>
      </c>
      <c r="M724" s="9">
        <f t="shared" si="23"/>
        <v>0</v>
      </c>
    </row>
    <row r="725" spans="12:13" x14ac:dyDescent="0.25">
      <c r="L725" s="9" t="str">
        <f t="shared" si="22"/>
        <v>#N/A</v>
      </c>
      <c r="M725" s="9">
        <f t="shared" si="23"/>
        <v>0</v>
      </c>
    </row>
    <row r="726" spans="12:13" x14ac:dyDescent="0.25">
      <c r="L726" s="9" t="str">
        <f t="shared" si="22"/>
        <v>#N/A</v>
      </c>
      <c r="M726" s="9">
        <f t="shared" si="23"/>
        <v>0</v>
      </c>
    </row>
    <row r="727" spans="12:13" x14ac:dyDescent="0.25">
      <c r="L727" s="9" t="str">
        <f t="shared" si="22"/>
        <v>#N/A</v>
      </c>
      <c r="M727" s="9">
        <f t="shared" si="23"/>
        <v>0</v>
      </c>
    </row>
    <row r="728" spans="12:13" x14ac:dyDescent="0.25">
      <c r="L728" s="9" t="str">
        <f t="shared" si="22"/>
        <v>#N/A</v>
      </c>
      <c r="M728" s="9">
        <f t="shared" si="23"/>
        <v>0</v>
      </c>
    </row>
    <row r="729" spans="12:13" x14ac:dyDescent="0.25">
      <c r="L729" s="9" t="str">
        <f t="shared" si="22"/>
        <v>#N/A</v>
      </c>
      <c r="M729" s="9">
        <f t="shared" si="23"/>
        <v>0</v>
      </c>
    </row>
    <row r="730" spans="12:13" x14ac:dyDescent="0.25">
      <c r="L730" s="9" t="str">
        <f t="shared" si="22"/>
        <v>#N/A</v>
      </c>
      <c r="M730" s="9">
        <f t="shared" si="23"/>
        <v>0</v>
      </c>
    </row>
    <row r="731" spans="12:13" x14ac:dyDescent="0.25">
      <c r="L731" s="9" t="str">
        <f t="shared" si="22"/>
        <v>#N/A</v>
      </c>
      <c r="M731" s="9">
        <f t="shared" si="23"/>
        <v>0</v>
      </c>
    </row>
    <row r="732" spans="12:13" x14ac:dyDescent="0.25">
      <c r="L732" s="9" t="str">
        <f t="shared" si="22"/>
        <v>#N/A</v>
      </c>
      <c r="M732" s="9">
        <f t="shared" si="23"/>
        <v>0</v>
      </c>
    </row>
    <row r="733" spans="12:13" x14ac:dyDescent="0.25">
      <c r="L733" s="9" t="str">
        <f t="shared" si="22"/>
        <v>#N/A</v>
      </c>
      <c r="M733" s="9">
        <f t="shared" si="23"/>
        <v>0</v>
      </c>
    </row>
    <row r="734" spans="12:13" x14ac:dyDescent="0.25">
      <c r="L734" s="9" t="str">
        <f t="shared" si="22"/>
        <v>#N/A</v>
      </c>
      <c r="M734" s="9">
        <f t="shared" si="23"/>
        <v>0</v>
      </c>
    </row>
    <row r="735" spans="12:13" x14ac:dyDescent="0.25">
      <c r="L735" s="9" t="str">
        <f t="shared" si="22"/>
        <v>#N/A</v>
      </c>
      <c r="M735" s="9">
        <f t="shared" si="23"/>
        <v>0</v>
      </c>
    </row>
    <row r="736" spans="12:13" x14ac:dyDescent="0.25">
      <c r="L736" s="9" t="str">
        <f t="shared" si="22"/>
        <v>#N/A</v>
      </c>
      <c r="M736" s="9">
        <f t="shared" si="23"/>
        <v>0</v>
      </c>
    </row>
    <row r="737" spans="12:13" x14ac:dyDescent="0.25">
      <c r="L737" s="9" t="str">
        <f t="shared" si="22"/>
        <v>#N/A</v>
      </c>
      <c r="M737" s="9">
        <f t="shared" si="23"/>
        <v>0</v>
      </c>
    </row>
    <row r="738" spans="12:13" x14ac:dyDescent="0.25">
      <c r="L738" s="9" t="str">
        <f t="shared" si="22"/>
        <v>#N/A</v>
      </c>
      <c r="M738" s="9">
        <f t="shared" si="23"/>
        <v>0</v>
      </c>
    </row>
    <row r="739" spans="12:13" x14ac:dyDescent="0.25">
      <c r="L739" s="9" t="str">
        <f t="shared" si="22"/>
        <v>#N/A</v>
      </c>
      <c r="M739" s="9">
        <f t="shared" si="23"/>
        <v>0</v>
      </c>
    </row>
    <row r="740" spans="12:13" x14ac:dyDescent="0.25">
      <c r="L740" s="9" t="str">
        <f t="shared" si="22"/>
        <v>#N/A</v>
      </c>
      <c r="M740" s="9">
        <f t="shared" si="23"/>
        <v>0</v>
      </c>
    </row>
    <row r="741" spans="12:13" x14ac:dyDescent="0.25">
      <c r="L741" s="9" t="str">
        <f t="shared" si="22"/>
        <v>#N/A</v>
      </c>
      <c r="M741" s="9">
        <f t="shared" si="23"/>
        <v>0</v>
      </c>
    </row>
    <row r="742" spans="12:13" x14ac:dyDescent="0.25">
      <c r="L742" s="9" t="str">
        <f t="shared" si="22"/>
        <v>#N/A</v>
      </c>
      <c r="M742" s="9">
        <f t="shared" si="23"/>
        <v>0</v>
      </c>
    </row>
    <row r="743" spans="12:13" x14ac:dyDescent="0.25">
      <c r="L743" s="9" t="str">
        <f t="shared" si="22"/>
        <v>#N/A</v>
      </c>
      <c r="M743" s="9">
        <f t="shared" si="23"/>
        <v>0</v>
      </c>
    </row>
    <row r="744" spans="12:13" x14ac:dyDescent="0.25">
      <c r="L744" s="9" t="str">
        <f t="shared" si="22"/>
        <v>#N/A</v>
      </c>
      <c r="M744" s="9">
        <f t="shared" si="23"/>
        <v>0</v>
      </c>
    </row>
    <row r="745" spans="12:13" x14ac:dyDescent="0.25">
      <c r="L745" s="9" t="str">
        <f t="shared" si="22"/>
        <v>#N/A</v>
      </c>
      <c r="M745" s="9">
        <f t="shared" si="23"/>
        <v>0</v>
      </c>
    </row>
    <row r="746" spans="12:13" x14ac:dyDescent="0.25">
      <c r="L746" s="9" t="str">
        <f t="shared" si="22"/>
        <v>#N/A</v>
      </c>
      <c r="M746" s="9">
        <f t="shared" si="23"/>
        <v>0</v>
      </c>
    </row>
    <row r="747" spans="12:13" x14ac:dyDescent="0.25">
      <c r="L747" s="9" t="str">
        <f t="shared" si="22"/>
        <v>#N/A</v>
      </c>
      <c r="M747" s="9">
        <f t="shared" si="23"/>
        <v>0</v>
      </c>
    </row>
    <row r="748" spans="12:13" x14ac:dyDescent="0.25">
      <c r="L748" s="9" t="str">
        <f t="shared" si="22"/>
        <v>#N/A</v>
      </c>
      <c r="M748" s="9">
        <f t="shared" si="23"/>
        <v>0</v>
      </c>
    </row>
    <row r="749" spans="12:13" x14ac:dyDescent="0.25">
      <c r="L749" s="9" t="str">
        <f t="shared" si="22"/>
        <v>#N/A</v>
      </c>
      <c r="M749" s="9">
        <f t="shared" si="23"/>
        <v>0</v>
      </c>
    </row>
    <row r="750" spans="12:13" x14ac:dyDescent="0.25">
      <c r="L750" s="9" t="str">
        <f t="shared" si="22"/>
        <v>#N/A</v>
      </c>
      <c r="M750" s="9">
        <f t="shared" si="23"/>
        <v>0</v>
      </c>
    </row>
    <row r="751" spans="12:13" x14ac:dyDescent="0.25">
      <c r="L751" s="9" t="str">
        <f t="shared" si="22"/>
        <v>#N/A</v>
      </c>
      <c r="M751" s="9">
        <f t="shared" si="23"/>
        <v>0</v>
      </c>
    </row>
    <row r="752" spans="12:13" x14ac:dyDescent="0.25">
      <c r="L752" s="9" t="str">
        <f t="shared" si="22"/>
        <v>#N/A</v>
      </c>
      <c r="M752" s="9">
        <f t="shared" si="23"/>
        <v>0</v>
      </c>
    </row>
    <row r="753" spans="12:13" x14ac:dyDescent="0.25">
      <c r="L753" s="9" t="str">
        <f t="shared" si="22"/>
        <v>#N/A</v>
      </c>
      <c r="M753" s="9">
        <f t="shared" si="23"/>
        <v>0</v>
      </c>
    </row>
    <row r="754" spans="12:13" x14ac:dyDescent="0.25">
      <c r="L754" s="9" t="str">
        <f t="shared" si="22"/>
        <v>#N/A</v>
      </c>
      <c r="M754" s="9">
        <f t="shared" si="23"/>
        <v>0</v>
      </c>
    </row>
    <row r="755" spans="12:13" x14ac:dyDescent="0.25">
      <c r="L755" s="9" t="str">
        <f t="shared" si="22"/>
        <v>#N/A</v>
      </c>
      <c r="M755" s="9">
        <f t="shared" si="23"/>
        <v>0</v>
      </c>
    </row>
    <row r="756" spans="12:13" x14ac:dyDescent="0.25">
      <c r="L756" s="9" t="str">
        <f t="shared" si="22"/>
        <v>#N/A</v>
      </c>
      <c r="M756" s="9">
        <f t="shared" si="23"/>
        <v>0</v>
      </c>
    </row>
    <row r="757" spans="12:13" x14ac:dyDescent="0.25">
      <c r="L757" s="9" t="str">
        <f t="shared" si="22"/>
        <v>#N/A</v>
      </c>
      <c r="M757" s="9">
        <f t="shared" si="23"/>
        <v>0</v>
      </c>
    </row>
    <row r="758" spans="12:13" x14ac:dyDescent="0.25">
      <c r="L758" s="9" t="str">
        <f t="shared" si="22"/>
        <v>#N/A</v>
      </c>
      <c r="M758" s="9">
        <f t="shared" si="23"/>
        <v>0</v>
      </c>
    </row>
    <row r="759" spans="12:13" x14ac:dyDescent="0.25">
      <c r="L759" s="9" t="str">
        <f t="shared" si="22"/>
        <v>#N/A</v>
      </c>
      <c r="M759" s="9">
        <f t="shared" si="23"/>
        <v>0</v>
      </c>
    </row>
    <row r="760" spans="12:13" x14ac:dyDescent="0.25">
      <c r="L760" s="9" t="str">
        <f t="shared" si="22"/>
        <v>#N/A</v>
      </c>
      <c r="M760" s="9">
        <f t="shared" si="23"/>
        <v>0</v>
      </c>
    </row>
    <row r="761" spans="12:13" x14ac:dyDescent="0.25">
      <c r="L761" s="9" t="str">
        <f t="shared" si="22"/>
        <v>#N/A</v>
      </c>
      <c r="M761" s="9">
        <f t="shared" si="23"/>
        <v>0</v>
      </c>
    </row>
    <row r="762" spans="12:13" x14ac:dyDescent="0.25">
      <c r="L762" s="9" t="str">
        <f t="shared" si="22"/>
        <v>#N/A</v>
      </c>
      <c r="M762" s="9">
        <f t="shared" si="23"/>
        <v>0</v>
      </c>
    </row>
    <row r="763" spans="12:13" x14ac:dyDescent="0.25">
      <c r="L763" s="9" t="str">
        <f t="shared" si="22"/>
        <v>#N/A</v>
      </c>
      <c r="M763" s="9">
        <f t="shared" si="23"/>
        <v>0</v>
      </c>
    </row>
    <row r="764" spans="12:13" x14ac:dyDescent="0.25">
      <c r="L764" s="9" t="str">
        <f t="shared" si="22"/>
        <v>#N/A</v>
      </c>
      <c r="M764" s="9">
        <f t="shared" si="23"/>
        <v>0</v>
      </c>
    </row>
    <row r="765" spans="12:13" x14ac:dyDescent="0.25">
      <c r="L765" s="9" t="str">
        <f t="shared" si="22"/>
        <v>#N/A</v>
      </c>
      <c r="M765" s="9">
        <f t="shared" si="23"/>
        <v>0</v>
      </c>
    </row>
    <row r="766" spans="12:13" x14ac:dyDescent="0.25">
      <c r="L766" s="9" t="str">
        <f t="shared" si="22"/>
        <v>#N/A</v>
      </c>
      <c r="M766" s="9">
        <f t="shared" si="23"/>
        <v>0</v>
      </c>
    </row>
    <row r="767" spans="12:13" x14ac:dyDescent="0.25">
      <c r="L767" s="9" t="str">
        <f t="shared" si="22"/>
        <v>#N/A</v>
      </c>
      <c r="M767" s="9">
        <f t="shared" si="23"/>
        <v>0</v>
      </c>
    </row>
    <row r="768" spans="12:13" x14ac:dyDescent="0.25">
      <c r="L768" s="9" t="str">
        <f t="shared" si="22"/>
        <v>#N/A</v>
      </c>
      <c r="M768" s="9">
        <f t="shared" si="23"/>
        <v>0</v>
      </c>
    </row>
    <row r="769" spans="12:13" x14ac:dyDescent="0.25">
      <c r="L769" s="9" t="str">
        <f t="shared" si="22"/>
        <v>#N/A</v>
      </c>
      <c r="M769" s="9">
        <f t="shared" si="23"/>
        <v>0</v>
      </c>
    </row>
    <row r="770" spans="12:13" x14ac:dyDescent="0.25">
      <c r="L770" s="9" t="str">
        <f t="shared" ref="L770:L833" si="24">IF((D770^2+(B770*$K$2)^2)&gt;0,1/(D770^2+(B770*$K$2)^2),"#N/A")</f>
        <v>#N/A</v>
      </c>
      <c r="M770" s="9">
        <f t="shared" si="23"/>
        <v>0</v>
      </c>
    </row>
    <row r="771" spans="12:13" x14ac:dyDescent="0.25">
      <c r="L771" s="9" t="str">
        <f t="shared" si="24"/>
        <v>#N/A</v>
      </c>
      <c r="M771" s="9">
        <f t="shared" ref="M771:M834" si="25">IF(B771*$K$2&gt;D771*10,1,0)</f>
        <v>0</v>
      </c>
    </row>
    <row r="772" spans="12:13" x14ac:dyDescent="0.25">
      <c r="L772" s="9" t="str">
        <f t="shared" si="24"/>
        <v>#N/A</v>
      </c>
      <c r="M772" s="9">
        <f t="shared" si="25"/>
        <v>0</v>
      </c>
    </row>
    <row r="773" spans="12:13" x14ac:dyDescent="0.25">
      <c r="L773" s="9" t="str">
        <f t="shared" si="24"/>
        <v>#N/A</v>
      </c>
      <c r="M773" s="9">
        <f t="shared" si="25"/>
        <v>0</v>
      </c>
    </row>
    <row r="774" spans="12:13" x14ac:dyDescent="0.25">
      <c r="L774" s="9" t="str">
        <f t="shared" si="24"/>
        <v>#N/A</v>
      </c>
      <c r="M774" s="9">
        <f t="shared" si="25"/>
        <v>0</v>
      </c>
    </row>
    <row r="775" spans="12:13" x14ac:dyDescent="0.25">
      <c r="L775" s="9" t="str">
        <f t="shared" si="24"/>
        <v>#N/A</v>
      </c>
      <c r="M775" s="9">
        <f t="shared" si="25"/>
        <v>0</v>
      </c>
    </row>
    <row r="776" spans="12:13" x14ac:dyDescent="0.25">
      <c r="L776" s="9" t="str">
        <f t="shared" si="24"/>
        <v>#N/A</v>
      </c>
      <c r="M776" s="9">
        <f t="shared" si="25"/>
        <v>0</v>
      </c>
    </row>
    <row r="777" spans="12:13" x14ac:dyDescent="0.25">
      <c r="L777" s="9" t="str">
        <f t="shared" si="24"/>
        <v>#N/A</v>
      </c>
      <c r="M777" s="9">
        <f t="shared" si="25"/>
        <v>0</v>
      </c>
    </row>
    <row r="778" spans="12:13" x14ac:dyDescent="0.25">
      <c r="L778" s="9" t="str">
        <f t="shared" si="24"/>
        <v>#N/A</v>
      </c>
      <c r="M778" s="9">
        <f t="shared" si="25"/>
        <v>0</v>
      </c>
    </row>
    <row r="779" spans="12:13" x14ac:dyDescent="0.25">
      <c r="L779" s="9" t="str">
        <f t="shared" si="24"/>
        <v>#N/A</v>
      </c>
      <c r="M779" s="9">
        <f t="shared" si="25"/>
        <v>0</v>
      </c>
    </row>
    <row r="780" spans="12:13" x14ac:dyDescent="0.25">
      <c r="L780" s="9" t="str">
        <f t="shared" si="24"/>
        <v>#N/A</v>
      </c>
      <c r="M780" s="9">
        <f t="shared" si="25"/>
        <v>0</v>
      </c>
    </row>
    <row r="781" spans="12:13" x14ac:dyDescent="0.25">
      <c r="L781" s="9" t="str">
        <f t="shared" si="24"/>
        <v>#N/A</v>
      </c>
      <c r="M781" s="9">
        <f t="shared" si="25"/>
        <v>0</v>
      </c>
    </row>
    <row r="782" spans="12:13" x14ac:dyDescent="0.25">
      <c r="L782" s="9" t="str">
        <f t="shared" si="24"/>
        <v>#N/A</v>
      </c>
      <c r="M782" s="9">
        <f t="shared" si="25"/>
        <v>0</v>
      </c>
    </row>
    <row r="783" spans="12:13" x14ac:dyDescent="0.25">
      <c r="L783" s="9" t="str">
        <f t="shared" si="24"/>
        <v>#N/A</v>
      </c>
      <c r="M783" s="9">
        <f t="shared" si="25"/>
        <v>0</v>
      </c>
    </row>
    <row r="784" spans="12:13" x14ac:dyDescent="0.25">
      <c r="L784" s="9" t="str">
        <f t="shared" si="24"/>
        <v>#N/A</v>
      </c>
      <c r="M784" s="9">
        <f t="shared" si="25"/>
        <v>0</v>
      </c>
    </row>
    <row r="785" spans="12:13" x14ac:dyDescent="0.25">
      <c r="L785" s="9" t="str">
        <f t="shared" si="24"/>
        <v>#N/A</v>
      </c>
      <c r="M785" s="9">
        <f t="shared" si="25"/>
        <v>0</v>
      </c>
    </row>
    <row r="786" spans="12:13" x14ac:dyDescent="0.25">
      <c r="L786" s="9" t="str">
        <f t="shared" si="24"/>
        <v>#N/A</v>
      </c>
      <c r="M786" s="9">
        <f t="shared" si="25"/>
        <v>0</v>
      </c>
    </row>
    <row r="787" spans="12:13" x14ac:dyDescent="0.25">
      <c r="L787" s="9" t="str">
        <f t="shared" si="24"/>
        <v>#N/A</v>
      </c>
      <c r="M787" s="9">
        <f t="shared" si="25"/>
        <v>0</v>
      </c>
    </row>
    <row r="788" spans="12:13" x14ac:dyDescent="0.25">
      <c r="L788" s="9" t="str">
        <f t="shared" si="24"/>
        <v>#N/A</v>
      </c>
      <c r="M788" s="9">
        <f t="shared" si="25"/>
        <v>0</v>
      </c>
    </row>
    <row r="789" spans="12:13" x14ac:dyDescent="0.25">
      <c r="L789" s="9" t="str">
        <f t="shared" si="24"/>
        <v>#N/A</v>
      </c>
      <c r="M789" s="9">
        <f t="shared" si="25"/>
        <v>0</v>
      </c>
    </row>
    <row r="790" spans="12:13" x14ac:dyDescent="0.25">
      <c r="L790" s="9" t="str">
        <f t="shared" si="24"/>
        <v>#N/A</v>
      </c>
      <c r="M790" s="9">
        <f t="shared" si="25"/>
        <v>0</v>
      </c>
    </row>
    <row r="791" spans="12:13" x14ac:dyDescent="0.25">
      <c r="L791" s="9" t="str">
        <f t="shared" si="24"/>
        <v>#N/A</v>
      </c>
      <c r="M791" s="9">
        <f t="shared" si="25"/>
        <v>0</v>
      </c>
    </row>
    <row r="792" spans="12:13" x14ac:dyDescent="0.25">
      <c r="L792" s="9" t="str">
        <f t="shared" si="24"/>
        <v>#N/A</v>
      </c>
      <c r="M792" s="9">
        <f t="shared" si="25"/>
        <v>0</v>
      </c>
    </row>
    <row r="793" spans="12:13" x14ac:dyDescent="0.25">
      <c r="L793" s="9" t="str">
        <f t="shared" si="24"/>
        <v>#N/A</v>
      </c>
      <c r="M793" s="9">
        <f t="shared" si="25"/>
        <v>0</v>
      </c>
    </row>
    <row r="794" spans="12:13" x14ac:dyDescent="0.25">
      <c r="L794" s="9" t="str">
        <f t="shared" si="24"/>
        <v>#N/A</v>
      </c>
      <c r="M794" s="9">
        <f t="shared" si="25"/>
        <v>0</v>
      </c>
    </row>
    <row r="795" spans="12:13" x14ac:dyDescent="0.25">
      <c r="L795" s="9" t="str">
        <f t="shared" si="24"/>
        <v>#N/A</v>
      </c>
      <c r="M795" s="9">
        <f t="shared" si="25"/>
        <v>0</v>
      </c>
    </row>
    <row r="796" spans="12:13" x14ac:dyDescent="0.25">
      <c r="L796" s="9" t="str">
        <f t="shared" si="24"/>
        <v>#N/A</v>
      </c>
      <c r="M796" s="9">
        <f t="shared" si="25"/>
        <v>0</v>
      </c>
    </row>
    <row r="797" spans="12:13" x14ac:dyDescent="0.25">
      <c r="L797" s="9" t="str">
        <f t="shared" si="24"/>
        <v>#N/A</v>
      </c>
      <c r="M797" s="9">
        <f t="shared" si="25"/>
        <v>0</v>
      </c>
    </row>
    <row r="798" spans="12:13" x14ac:dyDescent="0.25">
      <c r="L798" s="9" t="str">
        <f t="shared" si="24"/>
        <v>#N/A</v>
      </c>
      <c r="M798" s="9">
        <f t="shared" si="25"/>
        <v>0</v>
      </c>
    </row>
    <row r="799" spans="12:13" x14ac:dyDescent="0.25">
      <c r="L799" s="9" t="str">
        <f t="shared" si="24"/>
        <v>#N/A</v>
      </c>
      <c r="M799" s="9">
        <f t="shared" si="25"/>
        <v>0</v>
      </c>
    </row>
    <row r="800" spans="12:13" x14ac:dyDescent="0.25">
      <c r="L800" s="9" t="str">
        <f t="shared" si="24"/>
        <v>#N/A</v>
      </c>
      <c r="M800" s="9">
        <f t="shared" si="25"/>
        <v>0</v>
      </c>
    </row>
    <row r="801" spans="12:13" x14ac:dyDescent="0.25">
      <c r="L801" s="9" t="str">
        <f t="shared" si="24"/>
        <v>#N/A</v>
      </c>
      <c r="M801" s="9">
        <f t="shared" si="25"/>
        <v>0</v>
      </c>
    </row>
    <row r="802" spans="12:13" x14ac:dyDescent="0.25">
      <c r="L802" s="9" t="str">
        <f t="shared" si="24"/>
        <v>#N/A</v>
      </c>
      <c r="M802" s="9">
        <f t="shared" si="25"/>
        <v>0</v>
      </c>
    </row>
    <row r="803" spans="12:13" x14ac:dyDescent="0.25">
      <c r="L803" s="9" t="str">
        <f t="shared" si="24"/>
        <v>#N/A</v>
      </c>
      <c r="M803" s="9">
        <f t="shared" si="25"/>
        <v>0</v>
      </c>
    </row>
    <row r="804" spans="12:13" x14ac:dyDescent="0.25">
      <c r="L804" s="9" t="str">
        <f t="shared" si="24"/>
        <v>#N/A</v>
      </c>
      <c r="M804" s="9">
        <f t="shared" si="25"/>
        <v>0</v>
      </c>
    </row>
    <row r="805" spans="12:13" x14ac:dyDescent="0.25">
      <c r="L805" s="9" t="str">
        <f t="shared" si="24"/>
        <v>#N/A</v>
      </c>
      <c r="M805" s="9">
        <f t="shared" si="25"/>
        <v>0</v>
      </c>
    </row>
    <row r="806" spans="12:13" x14ac:dyDescent="0.25">
      <c r="L806" s="9" t="str">
        <f t="shared" si="24"/>
        <v>#N/A</v>
      </c>
      <c r="M806" s="9">
        <f t="shared" si="25"/>
        <v>0</v>
      </c>
    </row>
    <row r="807" spans="12:13" x14ac:dyDescent="0.25">
      <c r="L807" s="9" t="str">
        <f t="shared" si="24"/>
        <v>#N/A</v>
      </c>
      <c r="M807" s="9">
        <f t="shared" si="25"/>
        <v>0</v>
      </c>
    </row>
    <row r="808" spans="12:13" x14ac:dyDescent="0.25">
      <c r="L808" s="9" t="str">
        <f t="shared" si="24"/>
        <v>#N/A</v>
      </c>
      <c r="M808" s="9">
        <f t="shared" si="25"/>
        <v>0</v>
      </c>
    </row>
    <row r="809" spans="12:13" x14ac:dyDescent="0.25">
      <c r="L809" s="9" t="str">
        <f t="shared" si="24"/>
        <v>#N/A</v>
      </c>
      <c r="M809" s="9">
        <f t="shared" si="25"/>
        <v>0</v>
      </c>
    </row>
    <row r="810" spans="12:13" x14ac:dyDescent="0.25">
      <c r="L810" s="9" t="str">
        <f t="shared" si="24"/>
        <v>#N/A</v>
      </c>
      <c r="M810" s="9">
        <f t="shared" si="25"/>
        <v>0</v>
      </c>
    </row>
    <row r="811" spans="12:13" x14ac:dyDescent="0.25">
      <c r="L811" s="9" t="str">
        <f t="shared" si="24"/>
        <v>#N/A</v>
      </c>
      <c r="M811" s="9">
        <f t="shared" si="25"/>
        <v>0</v>
      </c>
    </row>
    <row r="812" spans="12:13" x14ac:dyDescent="0.25">
      <c r="L812" s="9" t="str">
        <f t="shared" si="24"/>
        <v>#N/A</v>
      </c>
      <c r="M812" s="9">
        <f t="shared" si="25"/>
        <v>0</v>
      </c>
    </row>
    <row r="813" spans="12:13" x14ac:dyDescent="0.25">
      <c r="L813" s="9" t="str">
        <f t="shared" si="24"/>
        <v>#N/A</v>
      </c>
      <c r="M813" s="9">
        <f t="shared" si="25"/>
        <v>0</v>
      </c>
    </row>
    <row r="814" spans="12:13" x14ac:dyDescent="0.25">
      <c r="L814" s="9" t="str">
        <f t="shared" si="24"/>
        <v>#N/A</v>
      </c>
      <c r="M814" s="9">
        <f t="shared" si="25"/>
        <v>0</v>
      </c>
    </row>
    <row r="815" spans="12:13" x14ac:dyDescent="0.25">
      <c r="L815" s="9" t="str">
        <f t="shared" si="24"/>
        <v>#N/A</v>
      </c>
      <c r="M815" s="9">
        <f t="shared" si="25"/>
        <v>0</v>
      </c>
    </row>
    <row r="816" spans="12:13" x14ac:dyDescent="0.25">
      <c r="L816" s="9" t="str">
        <f t="shared" si="24"/>
        <v>#N/A</v>
      </c>
      <c r="M816" s="9">
        <f t="shared" si="25"/>
        <v>0</v>
      </c>
    </row>
    <row r="817" spans="12:13" x14ac:dyDescent="0.25">
      <c r="L817" s="9" t="str">
        <f t="shared" si="24"/>
        <v>#N/A</v>
      </c>
      <c r="M817" s="9">
        <f t="shared" si="25"/>
        <v>0</v>
      </c>
    </row>
    <row r="818" spans="12:13" x14ac:dyDescent="0.25">
      <c r="L818" s="9" t="str">
        <f t="shared" si="24"/>
        <v>#N/A</v>
      </c>
      <c r="M818" s="9">
        <f t="shared" si="25"/>
        <v>0</v>
      </c>
    </row>
    <row r="819" spans="12:13" x14ac:dyDescent="0.25">
      <c r="L819" s="9" t="str">
        <f t="shared" si="24"/>
        <v>#N/A</v>
      </c>
      <c r="M819" s="9">
        <f t="shared" si="25"/>
        <v>0</v>
      </c>
    </row>
    <row r="820" spans="12:13" x14ac:dyDescent="0.25">
      <c r="L820" s="9" t="str">
        <f t="shared" si="24"/>
        <v>#N/A</v>
      </c>
      <c r="M820" s="9">
        <f t="shared" si="25"/>
        <v>0</v>
      </c>
    </row>
    <row r="821" spans="12:13" x14ac:dyDescent="0.25">
      <c r="L821" s="9" t="str">
        <f t="shared" si="24"/>
        <v>#N/A</v>
      </c>
      <c r="M821" s="9">
        <f t="shared" si="25"/>
        <v>0</v>
      </c>
    </row>
    <row r="822" spans="12:13" x14ac:dyDescent="0.25">
      <c r="L822" s="9" t="str">
        <f t="shared" si="24"/>
        <v>#N/A</v>
      </c>
      <c r="M822" s="9">
        <f t="shared" si="25"/>
        <v>0</v>
      </c>
    </row>
    <row r="823" spans="12:13" x14ac:dyDescent="0.25">
      <c r="L823" s="9" t="str">
        <f t="shared" si="24"/>
        <v>#N/A</v>
      </c>
      <c r="M823" s="9">
        <f t="shared" si="25"/>
        <v>0</v>
      </c>
    </row>
    <row r="824" spans="12:13" x14ac:dyDescent="0.25">
      <c r="L824" s="9" t="str">
        <f t="shared" si="24"/>
        <v>#N/A</v>
      </c>
      <c r="M824" s="9">
        <f t="shared" si="25"/>
        <v>0</v>
      </c>
    </row>
    <row r="825" spans="12:13" x14ac:dyDescent="0.25">
      <c r="L825" s="9" t="str">
        <f t="shared" si="24"/>
        <v>#N/A</v>
      </c>
      <c r="M825" s="9">
        <f t="shared" si="25"/>
        <v>0</v>
      </c>
    </row>
    <row r="826" spans="12:13" x14ac:dyDescent="0.25">
      <c r="L826" s="9" t="str">
        <f t="shared" si="24"/>
        <v>#N/A</v>
      </c>
      <c r="M826" s="9">
        <f t="shared" si="25"/>
        <v>0</v>
      </c>
    </row>
    <row r="827" spans="12:13" x14ac:dyDescent="0.25">
      <c r="L827" s="9" t="str">
        <f t="shared" si="24"/>
        <v>#N/A</v>
      </c>
      <c r="M827" s="9">
        <f t="shared" si="25"/>
        <v>0</v>
      </c>
    </row>
    <row r="828" spans="12:13" x14ac:dyDescent="0.25">
      <c r="L828" s="9" t="str">
        <f t="shared" si="24"/>
        <v>#N/A</v>
      </c>
      <c r="M828" s="9">
        <f t="shared" si="25"/>
        <v>0</v>
      </c>
    </row>
    <row r="829" spans="12:13" x14ac:dyDescent="0.25">
      <c r="L829" s="9" t="str">
        <f t="shared" si="24"/>
        <v>#N/A</v>
      </c>
      <c r="M829" s="9">
        <f t="shared" si="25"/>
        <v>0</v>
      </c>
    </row>
    <row r="830" spans="12:13" x14ac:dyDescent="0.25">
      <c r="L830" s="9" t="str">
        <f t="shared" si="24"/>
        <v>#N/A</v>
      </c>
      <c r="M830" s="9">
        <f t="shared" si="25"/>
        <v>0</v>
      </c>
    </row>
    <row r="831" spans="12:13" x14ac:dyDescent="0.25">
      <c r="L831" s="9" t="str">
        <f t="shared" si="24"/>
        <v>#N/A</v>
      </c>
      <c r="M831" s="9">
        <f t="shared" si="25"/>
        <v>0</v>
      </c>
    </row>
    <row r="832" spans="12:13" x14ac:dyDescent="0.25">
      <c r="L832" s="9" t="str">
        <f t="shared" si="24"/>
        <v>#N/A</v>
      </c>
      <c r="M832" s="9">
        <f t="shared" si="25"/>
        <v>0</v>
      </c>
    </row>
    <row r="833" spans="12:13" x14ac:dyDescent="0.25">
      <c r="L833" s="9" t="str">
        <f t="shared" si="24"/>
        <v>#N/A</v>
      </c>
      <c r="M833" s="9">
        <f t="shared" si="25"/>
        <v>0</v>
      </c>
    </row>
    <row r="834" spans="12:13" x14ac:dyDescent="0.25">
      <c r="L834" s="9" t="str">
        <f t="shared" ref="L834:L897" si="26">IF((D834^2+(B834*$K$2)^2)&gt;0,1/(D834^2+(B834*$K$2)^2),"#N/A")</f>
        <v>#N/A</v>
      </c>
      <c r="M834" s="9">
        <f t="shared" si="25"/>
        <v>0</v>
      </c>
    </row>
    <row r="835" spans="12:13" x14ac:dyDescent="0.25">
      <c r="L835" s="9" t="str">
        <f t="shared" si="26"/>
        <v>#N/A</v>
      </c>
      <c r="M835" s="9">
        <f t="shared" ref="M835:M898" si="27">IF(B835*$K$2&gt;D835*10,1,0)</f>
        <v>0</v>
      </c>
    </row>
    <row r="836" spans="12:13" x14ac:dyDescent="0.25">
      <c r="L836" s="9" t="str">
        <f t="shared" si="26"/>
        <v>#N/A</v>
      </c>
      <c r="M836" s="9">
        <f t="shared" si="27"/>
        <v>0</v>
      </c>
    </row>
    <row r="837" spans="12:13" x14ac:dyDescent="0.25">
      <c r="L837" s="9" t="str">
        <f t="shared" si="26"/>
        <v>#N/A</v>
      </c>
      <c r="M837" s="9">
        <f t="shared" si="27"/>
        <v>0</v>
      </c>
    </row>
    <row r="838" spans="12:13" x14ac:dyDescent="0.25">
      <c r="L838" s="9" t="str">
        <f t="shared" si="26"/>
        <v>#N/A</v>
      </c>
      <c r="M838" s="9">
        <f t="shared" si="27"/>
        <v>0</v>
      </c>
    </row>
    <row r="839" spans="12:13" x14ac:dyDescent="0.25">
      <c r="L839" s="9" t="str">
        <f t="shared" si="26"/>
        <v>#N/A</v>
      </c>
      <c r="M839" s="9">
        <f t="shared" si="27"/>
        <v>0</v>
      </c>
    </row>
    <row r="840" spans="12:13" x14ac:dyDescent="0.25">
      <c r="L840" s="9" t="str">
        <f t="shared" si="26"/>
        <v>#N/A</v>
      </c>
      <c r="M840" s="9">
        <f t="shared" si="27"/>
        <v>0</v>
      </c>
    </row>
    <row r="841" spans="12:13" x14ac:dyDescent="0.25">
      <c r="L841" s="9" t="str">
        <f t="shared" si="26"/>
        <v>#N/A</v>
      </c>
      <c r="M841" s="9">
        <f t="shared" si="27"/>
        <v>0</v>
      </c>
    </row>
    <row r="842" spans="12:13" x14ac:dyDescent="0.25">
      <c r="L842" s="9" t="str">
        <f t="shared" si="26"/>
        <v>#N/A</v>
      </c>
      <c r="M842" s="9">
        <f t="shared" si="27"/>
        <v>0</v>
      </c>
    </row>
    <row r="843" spans="12:13" x14ac:dyDescent="0.25">
      <c r="L843" s="9" t="str">
        <f t="shared" si="26"/>
        <v>#N/A</v>
      </c>
      <c r="M843" s="9">
        <f t="shared" si="27"/>
        <v>0</v>
      </c>
    </row>
    <row r="844" spans="12:13" x14ac:dyDescent="0.25">
      <c r="L844" s="9" t="str">
        <f t="shared" si="26"/>
        <v>#N/A</v>
      </c>
      <c r="M844" s="9">
        <f t="shared" si="27"/>
        <v>0</v>
      </c>
    </row>
    <row r="845" spans="12:13" x14ac:dyDescent="0.25">
      <c r="L845" s="9" t="str">
        <f t="shared" si="26"/>
        <v>#N/A</v>
      </c>
      <c r="M845" s="9">
        <f t="shared" si="27"/>
        <v>0</v>
      </c>
    </row>
    <row r="846" spans="12:13" x14ac:dyDescent="0.25">
      <c r="L846" s="9" t="str">
        <f t="shared" si="26"/>
        <v>#N/A</v>
      </c>
      <c r="M846" s="9">
        <f t="shared" si="27"/>
        <v>0</v>
      </c>
    </row>
    <row r="847" spans="12:13" x14ac:dyDescent="0.25">
      <c r="L847" s="9" t="str">
        <f t="shared" si="26"/>
        <v>#N/A</v>
      </c>
      <c r="M847" s="9">
        <f t="shared" si="27"/>
        <v>0</v>
      </c>
    </row>
    <row r="848" spans="12:13" x14ac:dyDescent="0.25">
      <c r="L848" s="9" t="str">
        <f t="shared" si="26"/>
        <v>#N/A</v>
      </c>
      <c r="M848" s="9">
        <f t="shared" si="27"/>
        <v>0</v>
      </c>
    </row>
    <row r="849" spans="12:13" x14ac:dyDescent="0.25">
      <c r="L849" s="9" t="str">
        <f t="shared" si="26"/>
        <v>#N/A</v>
      </c>
      <c r="M849" s="9">
        <f t="shared" si="27"/>
        <v>0</v>
      </c>
    </row>
    <row r="850" spans="12:13" x14ac:dyDescent="0.25">
      <c r="L850" s="9" t="str">
        <f t="shared" si="26"/>
        <v>#N/A</v>
      </c>
      <c r="M850" s="9">
        <f t="shared" si="27"/>
        <v>0</v>
      </c>
    </row>
    <row r="851" spans="12:13" x14ac:dyDescent="0.25">
      <c r="L851" s="9" t="str">
        <f t="shared" si="26"/>
        <v>#N/A</v>
      </c>
      <c r="M851" s="9">
        <f t="shared" si="27"/>
        <v>0</v>
      </c>
    </row>
    <row r="852" spans="12:13" x14ac:dyDescent="0.25">
      <c r="L852" s="9" t="str">
        <f t="shared" si="26"/>
        <v>#N/A</v>
      </c>
      <c r="M852" s="9">
        <f t="shared" si="27"/>
        <v>0</v>
      </c>
    </row>
    <row r="853" spans="12:13" x14ac:dyDescent="0.25">
      <c r="L853" s="9" t="str">
        <f t="shared" si="26"/>
        <v>#N/A</v>
      </c>
      <c r="M853" s="9">
        <f t="shared" si="27"/>
        <v>0</v>
      </c>
    </row>
    <row r="854" spans="12:13" x14ac:dyDescent="0.25">
      <c r="L854" s="9" t="str">
        <f t="shared" si="26"/>
        <v>#N/A</v>
      </c>
      <c r="M854" s="9">
        <f t="shared" si="27"/>
        <v>0</v>
      </c>
    </row>
    <row r="855" spans="12:13" x14ac:dyDescent="0.25">
      <c r="L855" s="9" t="str">
        <f t="shared" si="26"/>
        <v>#N/A</v>
      </c>
      <c r="M855" s="9">
        <f t="shared" si="27"/>
        <v>0</v>
      </c>
    </row>
    <row r="856" spans="12:13" x14ac:dyDescent="0.25">
      <c r="L856" s="9" t="str">
        <f t="shared" si="26"/>
        <v>#N/A</v>
      </c>
      <c r="M856" s="9">
        <f t="shared" si="27"/>
        <v>0</v>
      </c>
    </row>
    <row r="857" spans="12:13" x14ac:dyDescent="0.25">
      <c r="L857" s="9" t="str">
        <f t="shared" si="26"/>
        <v>#N/A</v>
      </c>
      <c r="M857" s="9">
        <f t="shared" si="27"/>
        <v>0</v>
      </c>
    </row>
    <row r="858" spans="12:13" x14ac:dyDescent="0.25">
      <c r="L858" s="9" t="str">
        <f t="shared" si="26"/>
        <v>#N/A</v>
      </c>
      <c r="M858" s="9">
        <f t="shared" si="27"/>
        <v>0</v>
      </c>
    </row>
    <row r="859" spans="12:13" x14ac:dyDescent="0.25">
      <c r="L859" s="9" t="str">
        <f t="shared" si="26"/>
        <v>#N/A</v>
      </c>
      <c r="M859" s="9">
        <f t="shared" si="27"/>
        <v>0</v>
      </c>
    </row>
    <row r="860" spans="12:13" x14ac:dyDescent="0.25">
      <c r="L860" s="9" t="str">
        <f t="shared" si="26"/>
        <v>#N/A</v>
      </c>
      <c r="M860" s="9">
        <f t="shared" si="27"/>
        <v>0</v>
      </c>
    </row>
    <row r="861" spans="12:13" x14ac:dyDescent="0.25">
      <c r="L861" s="9" t="str">
        <f t="shared" si="26"/>
        <v>#N/A</v>
      </c>
      <c r="M861" s="9">
        <f t="shared" si="27"/>
        <v>0</v>
      </c>
    </row>
    <row r="862" spans="12:13" x14ac:dyDescent="0.25">
      <c r="L862" s="9" t="str">
        <f t="shared" si="26"/>
        <v>#N/A</v>
      </c>
      <c r="M862" s="9">
        <f t="shared" si="27"/>
        <v>0</v>
      </c>
    </row>
    <row r="863" spans="12:13" x14ac:dyDescent="0.25">
      <c r="L863" s="9" t="str">
        <f t="shared" si="26"/>
        <v>#N/A</v>
      </c>
      <c r="M863" s="9">
        <f t="shared" si="27"/>
        <v>0</v>
      </c>
    </row>
    <row r="864" spans="12:13" x14ac:dyDescent="0.25">
      <c r="L864" s="9" t="str">
        <f t="shared" si="26"/>
        <v>#N/A</v>
      </c>
      <c r="M864" s="9">
        <f t="shared" si="27"/>
        <v>0</v>
      </c>
    </row>
    <row r="865" spans="12:13" x14ac:dyDescent="0.25">
      <c r="L865" s="9" t="str">
        <f t="shared" si="26"/>
        <v>#N/A</v>
      </c>
      <c r="M865" s="9">
        <f t="shared" si="27"/>
        <v>0</v>
      </c>
    </row>
    <row r="866" spans="12:13" x14ac:dyDescent="0.25">
      <c r="L866" s="9" t="str">
        <f t="shared" si="26"/>
        <v>#N/A</v>
      </c>
      <c r="M866" s="9">
        <f t="shared" si="27"/>
        <v>0</v>
      </c>
    </row>
    <row r="867" spans="12:13" x14ac:dyDescent="0.25">
      <c r="L867" s="9" t="str">
        <f t="shared" si="26"/>
        <v>#N/A</v>
      </c>
      <c r="M867" s="9">
        <f t="shared" si="27"/>
        <v>0</v>
      </c>
    </row>
    <row r="868" spans="12:13" x14ac:dyDescent="0.25">
      <c r="L868" s="9" t="str">
        <f t="shared" si="26"/>
        <v>#N/A</v>
      </c>
      <c r="M868" s="9">
        <f t="shared" si="27"/>
        <v>0</v>
      </c>
    </row>
    <row r="869" spans="12:13" x14ac:dyDescent="0.25">
      <c r="L869" s="9" t="str">
        <f t="shared" si="26"/>
        <v>#N/A</v>
      </c>
      <c r="M869" s="9">
        <f t="shared" si="27"/>
        <v>0</v>
      </c>
    </row>
    <row r="870" spans="12:13" x14ac:dyDescent="0.25">
      <c r="L870" s="9" t="str">
        <f t="shared" si="26"/>
        <v>#N/A</v>
      </c>
      <c r="M870" s="9">
        <f t="shared" si="27"/>
        <v>0</v>
      </c>
    </row>
    <row r="871" spans="12:13" x14ac:dyDescent="0.25">
      <c r="L871" s="9" t="str">
        <f t="shared" si="26"/>
        <v>#N/A</v>
      </c>
      <c r="M871" s="9">
        <f t="shared" si="27"/>
        <v>0</v>
      </c>
    </row>
    <row r="872" spans="12:13" x14ac:dyDescent="0.25">
      <c r="L872" s="9" t="str">
        <f t="shared" si="26"/>
        <v>#N/A</v>
      </c>
      <c r="M872" s="9">
        <f t="shared" si="27"/>
        <v>0</v>
      </c>
    </row>
    <row r="873" spans="12:13" x14ac:dyDescent="0.25">
      <c r="L873" s="9" t="str">
        <f t="shared" si="26"/>
        <v>#N/A</v>
      </c>
      <c r="M873" s="9">
        <f t="shared" si="27"/>
        <v>0</v>
      </c>
    </row>
    <row r="874" spans="12:13" x14ac:dyDescent="0.25">
      <c r="L874" s="9" t="str">
        <f t="shared" si="26"/>
        <v>#N/A</v>
      </c>
      <c r="M874" s="9">
        <f t="shared" si="27"/>
        <v>0</v>
      </c>
    </row>
    <row r="875" spans="12:13" x14ac:dyDescent="0.25">
      <c r="L875" s="9" t="str">
        <f t="shared" si="26"/>
        <v>#N/A</v>
      </c>
      <c r="M875" s="9">
        <f t="shared" si="27"/>
        <v>0</v>
      </c>
    </row>
    <row r="876" spans="12:13" x14ac:dyDescent="0.25">
      <c r="L876" s="9" t="str">
        <f t="shared" si="26"/>
        <v>#N/A</v>
      </c>
      <c r="M876" s="9">
        <f t="shared" si="27"/>
        <v>0</v>
      </c>
    </row>
    <row r="877" spans="12:13" x14ac:dyDescent="0.25">
      <c r="L877" s="9" t="str">
        <f t="shared" si="26"/>
        <v>#N/A</v>
      </c>
      <c r="M877" s="9">
        <f t="shared" si="27"/>
        <v>0</v>
      </c>
    </row>
    <row r="878" spans="12:13" x14ac:dyDescent="0.25">
      <c r="L878" s="9" t="str">
        <f t="shared" si="26"/>
        <v>#N/A</v>
      </c>
      <c r="M878" s="9">
        <f t="shared" si="27"/>
        <v>0</v>
      </c>
    </row>
    <row r="879" spans="12:13" x14ac:dyDescent="0.25">
      <c r="L879" s="9" t="str">
        <f t="shared" si="26"/>
        <v>#N/A</v>
      </c>
      <c r="M879" s="9">
        <f t="shared" si="27"/>
        <v>0</v>
      </c>
    </row>
    <row r="880" spans="12:13" x14ac:dyDescent="0.25">
      <c r="L880" s="9" t="str">
        <f t="shared" si="26"/>
        <v>#N/A</v>
      </c>
      <c r="M880" s="9">
        <f t="shared" si="27"/>
        <v>0</v>
      </c>
    </row>
    <row r="881" spans="12:13" x14ac:dyDescent="0.25">
      <c r="L881" s="9" t="str">
        <f t="shared" si="26"/>
        <v>#N/A</v>
      </c>
      <c r="M881" s="9">
        <f t="shared" si="27"/>
        <v>0</v>
      </c>
    </row>
    <row r="882" spans="12:13" x14ac:dyDescent="0.25">
      <c r="L882" s="9" t="str">
        <f t="shared" si="26"/>
        <v>#N/A</v>
      </c>
      <c r="M882" s="9">
        <f t="shared" si="27"/>
        <v>0</v>
      </c>
    </row>
    <row r="883" spans="12:13" x14ac:dyDescent="0.25">
      <c r="L883" s="9" t="str">
        <f t="shared" si="26"/>
        <v>#N/A</v>
      </c>
      <c r="M883" s="9">
        <f t="shared" si="27"/>
        <v>0</v>
      </c>
    </row>
    <row r="884" spans="12:13" x14ac:dyDescent="0.25">
      <c r="L884" s="9" t="str">
        <f t="shared" si="26"/>
        <v>#N/A</v>
      </c>
      <c r="M884" s="9">
        <f t="shared" si="27"/>
        <v>0</v>
      </c>
    </row>
    <row r="885" spans="12:13" x14ac:dyDescent="0.25">
      <c r="L885" s="9" t="str">
        <f t="shared" si="26"/>
        <v>#N/A</v>
      </c>
      <c r="M885" s="9">
        <f t="shared" si="27"/>
        <v>0</v>
      </c>
    </row>
    <row r="886" spans="12:13" x14ac:dyDescent="0.25">
      <c r="L886" s="9" t="str">
        <f t="shared" si="26"/>
        <v>#N/A</v>
      </c>
      <c r="M886" s="9">
        <f t="shared" si="27"/>
        <v>0</v>
      </c>
    </row>
    <row r="887" spans="12:13" x14ac:dyDescent="0.25">
      <c r="L887" s="9" t="str">
        <f t="shared" si="26"/>
        <v>#N/A</v>
      </c>
      <c r="M887" s="9">
        <f t="shared" si="27"/>
        <v>0</v>
      </c>
    </row>
    <row r="888" spans="12:13" x14ac:dyDescent="0.25">
      <c r="L888" s="9" t="str">
        <f t="shared" si="26"/>
        <v>#N/A</v>
      </c>
      <c r="M888" s="9">
        <f t="shared" si="27"/>
        <v>0</v>
      </c>
    </row>
    <row r="889" spans="12:13" x14ac:dyDescent="0.25">
      <c r="L889" s="9" t="str">
        <f t="shared" si="26"/>
        <v>#N/A</v>
      </c>
      <c r="M889" s="9">
        <f t="shared" si="27"/>
        <v>0</v>
      </c>
    </row>
    <row r="890" spans="12:13" x14ac:dyDescent="0.25">
      <c r="L890" s="9" t="str">
        <f t="shared" si="26"/>
        <v>#N/A</v>
      </c>
      <c r="M890" s="9">
        <f t="shared" si="27"/>
        <v>0</v>
      </c>
    </row>
    <row r="891" spans="12:13" x14ac:dyDescent="0.25">
      <c r="L891" s="9" t="str">
        <f t="shared" si="26"/>
        <v>#N/A</v>
      </c>
      <c r="M891" s="9">
        <f t="shared" si="27"/>
        <v>0</v>
      </c>
    </row>
    <row r="892" spans="12:13" x14ac:dyDescent="0.25">
      <c r="L892" s="9" t="str">
        <f t="shared" si="26"/>
        <v>#N/A</v>
      </c>
      <c r="M892" s="9">
        <f t="shared" si="27"/>
        <v>0</v>
      </c>
    </row>
    <row r="893" spans="12:13" x14ac:dyDescent="0.25">
      <c r="L893" s="9" t="str">
        <f t="shared" si="26"/>
        <v>#N/A</v>
      </c>
      <c r="M893" s="9">
        <f t="shared" si="27"/>
        <v>0</v>
      </c>
    </row>
    <row r="894" spans="12:13" x14ac:dyDescent="0.25">
      <c r="L894" s="9" t="str">
        <f t="shared" si="26"/>
        <v>#N/A</v>
      </c>
      <c r="M894" s="9">
        <f t="shared" si="27"/>
        <v>0</v>
      </c>
    </row>
    <row r="895" spans="12:13" x14ac:dyDescent="0.25">
      <c r="L895" s="9" t="str">
        <f t="shared" si="26"/>
        <v>#N/A</v>
      </c>
      <c r="M895" s="9">
        <f t="shared" si="27"/>
        <v>0</v>
      </c>
    </row>
    <row r="896" spans="12:13" x14ac:dyDescent="0.25">
      <c r="L896" s="9" t="str">
        <f t="shared" si="26"/>
        <v>#N/A</v>
      </c>
      <c r="M896" s="9">
        <f t="shared" si="27"/>
        <v>0</v>
      </c>
    </row>
    <row r="897" spans="12:13" x14ac:dyDescent="0.25">
      <c r="L897" s="9" t="str">
        <f t="shared" si="26"/>
        <v>#N/A</v>
      </c>
      <c r="M897" s="9">
        <f t="shared" si="27"/>
        <v>0</v>
      </c>
    </row>
    <row r="898" spans="12:13" x14ac:dyDescent="0.25">
      <c r="L898" s="9" t="str">
        <f t="shared" ref="L898:L961" si="28">IF((D898^2+(B898*$K$2)^2)&gt;0,1/(D898^2+(B898*$K$2)^2),"#N/A")</f>
        <v>#N/A</v>
      </c>
      <c r="M898" s="9">
        <f t="shared" si="27"/>
        <v>0</v>
      </c>
    </row>
    <row r="899" spans="12:13" x14ac:dyDescent="0.25">
      <c r="L899" s="9" t="str">
        <f t="shared" si="28"/>
        <v>#N/A</v>
      </c>
      <c r="M899" s="9">
        <f t="shared" ref="M899:M962" si="29">IF(B899*$K$2&gt;D899*10,1,0)</f>
        <v>0</v>
      </c>
    </row>
    <row r="900" spans="12:13" x14ac:dyDescent="0.25">
      <c r="L900" s="9" t="str">
        <f t="shared" si="28"/>
        <v>#N/A</v>
      </c>
      <c r="M900" s="9">
        <f t="shared" si="29"/>
        <v>0</v>
      </c>
    </row>
    <row r="901" spans="12:13" x14ac:dyDescent="0.25">
      <c r="L901" s="9" t="str">
        <f t="shared" si="28"/>
        <v>#N/A</v>
      </c>
      <c r="M901" s="9">
        <f t="shared" si="29"/>
        <v>0</v>
      </c>
    </row>
    <row r="902" spans="12:13" x14ac:dyDescent="0.25">
      <c r="L902" s="9" t="str">
        <f t="shared" si="28"/>
        <v>#N/A</v>
      </c>
      <c r="M902" s="9">
        <f t="shared" si="29"/>
        <v>0</v>
      </c>
    </row>
    <row r="903" spans="12:13" x14ac:dyDescent="0.25">
      <c r="L903" s="9" t="str">
        <f t="shared" si="28"/>
        <v>#N/A</v>
      </c>
      <c r="M903" s="9">
        <f t="shared" si="29"/>
        <v>0</v>
      </c>
    </row>
    <row r="904" spans="12:13" x14ac:dyDescent="0.25">
      <c r="L904" s="9" t="str">
        <f t="shared" si="28"/>
        <v>#N/A</v>
      </c>
      <c r="M904" s="9">
        <f t="shared" si="29"/>
        <v>0</v>
      </c>
    </row>
    <row r="905" spans="12:13" x14ac:dyDescent="0.25">
      <c r="L905" s="9" t="str">
        <f t="shared" si="28"/>
        <v>#N/A</v>
      </c>
      <c r="M905" s="9">
        <f t="shared" si="29"/>
        <v>0</v>
      </c>
    </row>
    <row r="906" spans="12:13" x14ac:dyDescent="0.25">
      <c r="L906" s="9" t="str">
        <f t="shared" si="28"/>
        <v>#N/A</v>
      </c>
      <c r="M906" s="9">
        <f t="shared" si="29"/>
        <v>0</v>
      </c>
    </row>
    <row r="907" spans="12:13" x14ac:dyDescent="0.25">
      <c r="L907" s="9" t="str">
        <f t="shared" si="28"/>
        <v>#N/A</v>
      </c>
      <c r="M907" s="9">
        <f t="shared" si="29"/>
        <v>0</v>
      </c>
    </row>
    <row r="908" spans="12:13" x14ac:dyDescent="0.25">
      <c r="L908" s="9" t="str">
        <f t="shared" si="28"/>
        <v>#N/A</v>
      </c>
      <c r="M908" s="9">
        <f t="shared" si="29"/>
        <v>0</v>
      </c>
    </row>
    <row r="909" spans="12:13" x14ac:dyDescent="0.25">
      <c r="L909" s="9" t="str">
        <f t="shared" si="28"/>
        <v>#N/A</v>
      </c>
      <c r="M909" s="9">
        <f t="shared" si="29"/>
        <v>0</v>
      </c>
    </row>
    <row r="910" spans="12:13" x14ac:dyDescent="0.25">
      <c r="L910" s="9" t="str">
        <f t="shared" si="28"/>
        <v>#N/A</v>
      </c>
      <c r="M910" s="9">
        <f t="shared" si="29"/>
        <v>0</v>
      </c>
    </row>
    <row r="911" spans="12:13" x14ac:dyDescent="0.25">
      <c r="L911" s="9" t="str">
        <f t="shared" si="28"/>
        <v>#N/A</v>
      </c>
      <c r="M911" s="9">
        <f t="shared" si="29"/>
        <v>0</v>
      </c>
    </row>
    <row r="912" spans="12:13" x14ac:dyDescent="0.25">
      <c r="L912" s="9" t="str">
        <f t="shared" si="28"/>
        <v>#N/A</v>
      </c>
      <c r="M912" s="9">
        <f t="shared" si="29"/>
        <v>0</v>
      </c>
    </row>
    <row r="913" spans="12:13" x14ac:dyDescent="0.25">
      <c r="L913" s="9" t="str">
        <f t="shared" si="28"/>
        <v>#N/A</v>
      </c>
      <c r="M913" s="9">
        <f t="shared" si="29"/>
        <v>0</v>
      </c>
    </row>
    <row r="914" spans="12:13" x14ac:dyDescent="0.25">
      <c r="L914" s="9" t="str">
        <f t="shared" si="28"/>
        <v>#N/A</v>
      </c>
      <c r="M914" s="9">
        <f t="shared" si="29"/>
        <v>0</v>
      </c>
    </row>
    <row r="915" spans="12:13" x14ac:dyDescent="0.25">
      <c r="L915" s="9" t="str">
        <f t="shared" si="28"/>
        <v>#N/A</v>
      </c>
      <c r="M915" s="9">
        <f t="shared" si="29"/>
        <v>0</v>
      </c>
    </row>
    <row r="916" spans="12:13" x14ac:dyDescent="0.25">
      <c r="L916" s="9" t="str">
        <f t="shared" si="28"/>
        <v>#N/A</v>
      </c>
      <c r="M916" s="9">
        <f t="shared" si="29"/>
        <v>0</v>
      </c>
    </row>
    <row r="917" spans="12:13" x14ac:dyDescent="0.25">
      <c r="L917" s="9" t="str">
        <f t="shared" si="28"/>
        <v>#N/A</v>
      </c>
      <c r="M917" s="9">
        <f t="shared" si="29"/>
        <v>0</v>
      </c>
    </row>
    <row r="918" spans="12:13" x14ac:dyDescent="0.25">
      <c r="L918" s="9" t="str">
        <f t="shared" si="28"/>
        <v>#N/A</v>
      </c>
      <c r="M918" s="9">
        <f t="shared" si="29"/>
        <v>0</v>
      </c>
    </row>
    <row r="919" spans="12:13" x14ac:dyDescent="0.25">
      <c r="L919" s="9" t="str">
        <f t="shared" si="28"/>
        <v>#N/A</v>
      </c>
      <c r="M919" s="9">
        <f t="shared" si="29"/>
        <v>0</v>
      </c>
    </row>
    <row r="920" spans="12:13" x14ac:dyDescent="0.25">
      <c r="L920" s="9" t="str">
        <f t="shared" si="28"/>
        <v>#N/A</v>
      </c>
      <c r="M920" s="9">
        <f t="shared" si="29"/>
        <v>0</v>
      </c>
    </row>
    <row r="921" spans="12:13" x14ac:dyDescent="0.25">
      <c r="L921" s="9" t="str">
        <f t="shared" si="28"/>
        <v>#N/A</v>
      </c>
      <c r="M921" s="9">
        <f t="shared" si="29"/>
        <v>0</v>
      </c>
    </row>
    <row r="922" spans="12:13" x14ac:dyDescent="0.25">
      <c r="L922" s="9" t="str">
        <f t="shared" si="28"/>
        <v>#N/A</v>
      </c>
      <c r="M922" s="9">
        <f t="shared" si="29"/>
        <v>0</v>
      </c>
    </row>
    <row r="923" spans="12:13" x14ac:dyDescent="0.25">
      <c r="L923" s="9" t="str">
        <f t="shared" si="28"/>
        <v>#N/A</v>
      </c>
      <c r="M923" s="9">
        <f t="shared" si="29"/>
        <v>0</v>
      </c>
    </row>
    <row r="924" spans="12:13" x14ac:dyDescent="0.25">
      <c r="L924" s="9" t="str">
        <f t="shared" si="28"/>
        <v>#N/A</v>
      </c>
      <c r="M924" s="9">
        <f t="shared" si="29"/>
        <v>0</v>
      </c>
    </row>
    <row r="925" spans="12:13" x14ac:dyDescent="0.25">
      <c r="L925" s="9" t="str">
        <f t="shared" si="28"/>
        <v>#N/A</v>
      </c>
      <c r="M925" s="9">
        <f t="shared" si="29"/>
        <v>0</v>
      </c>
    </row>
    <row r="926" spans="12:13" x14ac:dyDescent="0.25">
      <c r="L926" s="9" t="str">
        <f t="shared" si="28"/>
        <v>#N/A</v>
      </c>
      <c r="M926" s="9">
        <f t="shared" si="29"/>
        <v>0</v>
      </c>
    </row>
    <row r="927" spans="12:13" x14ac:dyDescent="0.25">
      <c r="L927" s="9" t="str">
        <f t="shared" si="28"/>
        <v>#N/A</v>
      </c>
      <c r="M927" s="9">
        <f t="shared" si="29"/>
        <v>0</v>
      </c>
    </row>
    <row r="928" spans="12:13" x14ac:dyDescent="0.25">
      <c r="L928" s="9" t="str">
        <f t="shared" si="28"/>
        <v>#N/A</v>
      </c>
      <c r="M928" s="9">
        <f t="shared" si="29"/>
        <v>0</v>
      </c>
    </row>
    <row r="929" spans="12:13" x14ac:dyDescent="0.25">
      <c r="L929" s="9" t="str">
        <f t="shared" si="28"/>
        <v>#N/A</v>
      </c>
      <c r="M929" s="9">
        <f t="shared" si="29"/>
        <v>0</v>
      </c>
    </row>
    <row r="930" spans="12:13" x14ac:dyDescent="0.25">
      <c r="L930" s="9" t="str">
        <f t="shared" si="28"/>
        <v>#N/A</v>
      </c>
      <c r="M930" s="9">
        <f t="shared" si="29"/>
        <v>0</v>
      </c>
    </row>
    <row r="931" spans="12:13" x14ac:dyDescent="0.25">
      <c r="L931" s="9" t="str">
        <f t="shared" si="28"/>
        <v>#N/A</v>
      </c>
      <c r="M931" s="9">
        <f t="shared" si="29"/>
        <v>0</v>
      </c>
    </row>
    <row r="932" spans="12:13" x14ac:dyDescent="0.25">
      <c r="L932" s="9" t="str">
        <f t="shared" si="28"/>
        <v>#N/A</v>
      </c>
      <c r="M932" s="9">
        <f t="shared" si="29"/>
        <v>0</v>
      </c>
    </row>
    <row r="933" spans="12:13" x14ac:dyDescent="0.25">
      <c r="L933" s="9" t="str">
        <f t="shared" si="28"/>
        <v>#N/A</v>
      </c>
      <c r="M933" s="9">
        <f t="shared" si="29"/>
        <v>0</v>
      </c>
    </row>
    <row r="934" spans="12:13" x14ac:dyDescent="0.25">
      <c r="L934" s="9" t="str">
        <f t="shared" si="28"/>
        <v>#N/A</v>
      </c>
      <c r="M934" s="9">
        <f t="shared" si="29"/>
        <v>0</v>
      </c>
    </row>
    <row r="935" spans="12:13" x14ac:dyDescent="0.25">
      <c r="L935" s="9" t="str">
        <f t="shared" si="28"/>
        <v>#N/A</v>
      </c>
      <c r="M935" s="9">
        <f t="shared" si="29"/>
        <v>0</v>
      </c>
    </row>
    <row r="936" spans="12:13" x14ac:dyDescent="0.25">
      <c r="L936" s="9" t="str">
        <f t="shared" si="28"/>
        <v>#N/A</v>
      </c>
      <c r="M936" s="9">
        <f t="shared" si="29"/>
        <v>0</v>
      </c>
    </row>
    <row r="937" spans="12:13" x14ac:dyDescent="0.25">
      <c r="L937" s="9" t="str">
        <f t="shared" si="28"/>
        <v>#N/A</v>
      </c>
      <c r="M937" s="9">
        <f t="shared" si="29"/>
        <v>0</v>
      </c>
    </row>
    <row r="938" spans="12:13" x14ac:dyDescent="0.25">
      <c r="L938" s="9" t="str">
        <f t="shared" si="28"/>
        <v>#N/A</v>
      </c>
      <c r="M938" s="9">
        <f t="shared" si="29"/>
        <v>0</v>
      </c>
    </row>
    <row r="939" spans="12:13" x14ac:dyDescent="0.25">
      <c r="L939" s="9" t="str">
        <f t="shared" si="28"/>
        <v>#N/A</v>
      </c>
      <c r="M939" s="9">
        <f t="shared" si="29"/>
        <v>0</v>
      </c>
    </row>
    <row r="940" spans="12:13" x14ac:dyDescent="0.25">
      <c r="L940" s="9" t="str">
        <f t="shared" si="28"/>
        <v>#N/A</v>
      </c>
      <c r="M940" s="9">
        <f t="shared" si="29"/>
        <v>0</v>
      </c>
    </row>
    <row r="941" spans="12:13" x14ac:dyDescent="0.25">
      <c r="L941" s="9" t="str">
        <f t="shared" si="28"/>
        <v>#N/A</v>
      </c>
      <c r="M941" s="9">
        <f t="shared" si="29"/>
        <v>0</v>
      </c>
    </row>
    <row r="942" spans="12:13" x14ac:dyDescent="0.25">
      <c r="L942" s="9" t="str">
        <f t="shared" si="28"/>
        <v>#N/A</v>
      </c>
      <c r="M942" s="9">
        <f t="shared" si="29"/>
        <v>0</v>
      </c>
    </row>
    <row r="943" spans="12:13" x14ac:dyDescent="0.25">
      <c r="L943" s="9" t="str">
        <f t="shared" si="28"/>
        <v>#N/A</v>
      </c>
      <c r="M943" s="9">
        <f t="shared" si="29"/>
        <v>0</v>
      </c>
    </row>
    <row r="944" spans="12:13" x14ac:dyDescent="0.25">
      <c r="L944" s="9" t="str">
        <f t="shared" si="28"/>
        <v>#N/A</v>
      </c>
      <c r="M944" s="9">
        <f t="shared" si="29"/>
        <v>0</v>
      </c>
    </row>
    <row r="945" spans="12:13" x14ac:dyDescent="0.25">
      <c r="L945" s="9" t="str">
        <f t="shared" si="28"/>
        <v>#N/A</v>
      </c>
      <c r="M945" s="9">
        <f t="shared" si="29"/>
        <v>0</v>
      </c>
    </row>
    <row r="946" spans="12:13" x14ac:dyDescent="0.25">
      <c r="L946" s="9" t="str">
        <f t="shared" si="28"/>
        <v>#N/A</v>
      </c>
      <c r="M946" s="9">
        <f t="shared" si="29"/>
        <v>0</v>
      </c>
    </row>
    <row r="947" spans="12:13" x14ac:dyDescent="0.25">
      <c r="L947" s="9" t="str">
        <f t="shared" si="28"/>
        <v>#N/A</v>
      </c>
      <c r="M947" s="9">
        <f t="shared" si="29"/>
        <v>0</v>
      </c>
    </row>
    <row r="948" spans="12:13" x14ac:dyDescent="0.25">
      <c r="L948" s="9" t="str">
        <f t="shared" si="28"/>
        <v>#N/A</v>
      </c>
      <c r="M948" s="9">
        <f t="shared" si="29"/>
        <v>0</v>
      </c>
    </row>
    <row r="949" spans="12:13" x14ac:dyDescent="0.25">
      <c r="L949" s="9" t="str">
        <f t="shared" si="28"/>
        <v>#N/A</v>
      </c>
      <c r="M949" s="9">
        <f t="shared" si="29"/>
        <v>0</v>
      </c>
    </row>
    <row r="950" spans="12:13" x14ac:dyDescent="0.25">
      <c r="L950" s="9" t="str">
        <f t="shared" si="28"/>
        <v>#N/A</v>
      </c>
      <c r="M950" s="9">
        <f t="shared" si="29"/>
        <v>0</v>
      </c>
    </row>
    <row r="951" spans="12:13" x14ac:dyDescent="0.25">
      <c r="L951" s="9" t="str">
        <f t="shared" si="28"/>
        <v>#N/A</v>
      </c>
      <c r="M951" s="9">
        <f t="shared" si="29"/>
        <v>0</v>
      </c>
    </row>
    <row r="952" spans="12:13" x14ac:dyDescent="0.25">
      <c r="L952" s="9" t="str">
        <f t="shared" si="28"/>
        <v>#N/A</v>
      </c>
      <c r="M952" s="9">
        <f t="shared" si="29"/>
        <v>0</v>
      </c>
    </row>
    <row r="953" spans="12:13" x14ac:dyDescent="0.25">
      <c r="L953" s="9" t="str">
        <f t="shared" si="28"/>
        <v>#N/A</v>
      </c>
      <c r="M953" s="9">
        <f t="shared" si="29"/>
        <v>0</v>
      </c>
    </row>
    <row r="954" spans="12:13" x14ac:dyDescent="0.25">
      <c r="L954" s="9" t="str">
        <f t="shared" si="28"/>
        <v>#N/A</v>
      </c>
      <c r="M954" s="9">
        <f t="shared" si="29"/>
        <v>0</v>
      </c>
    </row>
    <row r="955" spans="12:13" x14ac:dyDescent="0.25">
      <c r="L955" s="9" t="str">
        <f t="shared" si="28"/>
        <v>#N/A</v>
      </c>
      <c r="M955" s="9">
        <f t="shared" si="29"/>
        <v>0</v>
      </c>
    </row>
    <row r="956" spans="12:13" x14ac:dyDescent="0.25">
      <c r="L956" s="9" t="str">
        <f t="shared" si="28"/>
        <v>#N/A</v>
      </c>
      <c r="M956" s="9">
        <f t="shared" si="29"/>
        <v>0</v>
      </c>
    </row>
    <row r="957" spans="12:13" x14ac:dyDescent="0.25">
      <c r="L957" s="9" t="str">
        <f t="shared" si="28"/>
        <v>#N/A</v>
      </c>
      <c r="M957" s="9">
        <f t="shared" si="29"/>
        <v>0</v>
      </c>
    </row>
    <row r="958" spans="12:13" x14ac:dyDescent="0.25">
      <c r="L958" s="9" t="str">
        <f t="shared" si="28"/>
        <v>#N/A</v>
      </c>
      <c r="M958" s="9">
        <f t="shared" si="29"/>
        <v>0</v>
      </c>
    </row>
    <row r="959" spans="12:13" x14ac:dyDescent="0.25">
      <c r="L959" s="9" t="str">
        <f t="shared" si="28"/>
        <v>#N/A</v>
      </c>
      <c r="M959" s="9">
        <f t="shared" si="29"/>
        <v>0</v>
      </c>
    </row>
    <row r="960" spans="12:13" x14ac:dyDescent="0.25">
      <c r="L960" s="9" t="str">
        <f t="shared" si="28"/>
        <v>#N/A</v>
      </c>
      <c r="M960" s="9">
        <f t="shared" si="29"/>
        <v>0</v>
      </c>
    </row>
    <row r="961" spans="12:13" x14ac:dyDescent="0.25">
      <c r="L961" s="9" t="str">
        <f t="shared" si="28"/>
        <v>#N/A</v>
      </c>
      <c r="M961" s="9">
        <f t="shared" si="29"/>
        <v>0</v>
      </c>
    </row>
    <row r="962" spans="12:13" x14ac:dyDescent="0.25">
      <c r="L962" s="9" t="str">
        <f t="shared" ref="L962:L1025" si="30">IF((D962^2+(B962*$K$2)^2)&gt;0,1/(D962^2+(B962*$K$2)^2),"#N/A")</f>
        <v>#N/A</v>
      </c>
      <c r="M962" s="9">
        <f t="shared" si="29"/>
        <v>0</v>
      </c>
    </row>
    <row r="963" spans="12:13" x14ac:dyDescent="0.25">
      <c r="L963" s="9" t="str">
        <f t="shared" si="30"/>
        <v>#N/A</v>
      </c>
      <c r="M963" s="9">
        <f t="shared" ref="M963:M1026" si="31">IF(B963*$K$2&gt;D963*10,1,0)</f>
        <v>0</v>
      </c>
    </row>
    <row r="964" spans="12:13" x14ac:dyDescent="0.25">
      <c r="L964" s="9" t="str">
        <f t="shared" si="30"/>
        <v>#N/A</v>
      </c>
      <c r="M964" s="9">
        <f t="shared" si="31"/>
        <v>0</v>
      </c>
    </row>
    <row r="965" spans="12:13" x14ac:dyDescent="0.25">
      <c r="L965" s="9" t="str">
        <f t="shared" si="30"/>
        <v>#N/A</v>
      </c>
      <c r="M965" s="9">
        <f t="shared" si="31"/>
        <v>0</v>
      </c>
    </row>
    <row r="966" spans="12:13" x14ac:dyDescent="0.25">
      <c r="L966" s="9" t="str">
        <f t="shared" si="30"/>
        <v>#N/A</v>
      </c>
      <c r="M966" s="9">
        <f t="shared" si="31"/>
        <v>0</v>
      </c>
    </row>
    <row r="967" spans="12:13" x14ac:dyDescent="0.25">
      <c r="L967" s="9" t="str">
        <f t="shared" si="30"/>
        <v>#N/A</v>
      </c>
      <c r="M967" s="9">
        <f t="shared" si="31"/>
        <v>0</v>
      </c>
    </row>
    <row r="968" spans="12:13" x14ac:dyDescent="0.25">
      <c r="L968" s="9" t="str">
        <f t="shared" si="30"/>
        <v>#N/A</v>
      </c>
      <c r="M968" s="9">
        <f t="shared" si="31"/>
        <v>0</v>
      </c>
    </row>
    <row r="969" spans="12:13" x14ac:dyDescent="0.25">
      <c r="L969" s="9" t="str">
        <f t="shared" si="30"/>
        <v>#N/A</v>
      </c>
      <c r="M969" s="9">
        <f t="shared" si="31"/>
        <v>0</v>
      </c>
    </row>
    <row r="970" spans="12:13" x14ac:dyDescent="0.25">
      <c r="L970" s="9" t="str">
        <f t="shared" si="30"/>
        <v>#N/A</v>
      </c>
      <c r="M970" s="9">
        <f t="shared" si="31"/>
        <v>0</v>
      </c>
    </row>
    <row r="971" spans="12:13" x14ac:dyDescent="0.25">
      <c r="L971" s="9" t="str">
        <f t="shared" si="30"/>
        <v>#N/A</v>
      </c>
      <c r="M971" s="9">
        <f t="shared" si="31"/>
        <v>0</v>
      </c>
    </row>
    <row r="972" spans="12:13" x14ac:dyDescent="0.25">
      <c r="L972" s="9" t="str">
        <f t="shared" si="30"/>
        <v>#N/A</v>
      </c>
      <c r="M972" s="9">
        <f t="shared" si="31"/>
        <v>0</v>
      </c>
    </row>
    <row r="973" spans="12:13" x14ac:dyDescent="0.25">
      <c r="L973" s="9" t="str">
        <f t="shared" si="30"/>
        <v>#N/A</v>
      </c>
      <c r="M973" s="9">
        <f t="shared" si="31"/>
        <v>0</v>
      </c>
    </row>
    <row r="974" spans="12:13" x14ac:dyDescent="0.25">
      <c r="L974" s="9" t="str">
        <f t="shared" si="30"/>
        <v>#N/A</v>
      </c>
      <c r="M974" s="9">
        <f t="shared" si="31"/>
        <v>0</v>
      </c>
    </row>
    <row r="975" spans="12:13" x14ac:dyDescent="0.25">
      <c r="L975" s="9" t="str">
        <f t="shared" si="30"/>
        <v>#N/A</v>
      </c>
      <c r="M975" s="9">
        <f t="shared" si="31"/>
        <v>0</v>
      </c>
    </row>
    <row r="976" spans="12:13" x14ac:dyDescent="0.25">
      <c r="L976" s="9" t="str">
        <f t="shared" si="30"/>
        <v>#N/A</v>
      </c>
      <c r="M976" s="9">
        <f t="shared" si="31"/>
        <v>0</v>
      </c>
    </row>
    <row r="977" spans="12:13" x14ac:dyDescent="0.25">
      <c r="L977" s="9" t="str">
        <f t="shared" si="30"/>
        <v>#N/A</v>
      </c>
      <c r="M977" s="9">
        <f t="shared" si="31"/>
        <v>0</v>
      </c>
    </row>
    <row r="978" spans="12:13" x14ac:dyDescent="0.25">
      <c r="L978" s="9" t="str">
        <f t="shared" si="30"/>
        <v>#N/A</v>
      </c>
      <c r="M978" s="9">
        <f t="shared" si="31"/>
        <v>0</v>
      </c>
    </row>
    <row r="979" spans="12:13" x14ac:dyDescent="0.25">
      <c r="L979" s="9" t="str">
        <f t="shared" si="30"/>
        <v>#N/A</v>
      </c>
      <c r="M979" s="9">
        <f t="shared" si="31"/>
        <v>0</v>
      </c>
    </row>
    <row r="980" spans="12:13" x14ac:dyDescent="0.25">
      <c r="L980" s="9" t="str">
        <f t="shared" si="30"/>
        <v>#N/A</v>
      </c>
      <c r="M980" s="9">
        <f t="shared" si="31"/>
        <v>0</v>
      </c>
    </row>
    <row r="981" spans="12:13" x14ac:dyDescent="0.25">
      <c r="L981" s="9" t="str">
        <f t="shared" si="30"/>
        <v>#N/A</v>
      </c>
      <c r="M981" s="9">
        <f t="shared" si="31"/>
        <v>0</v>
      </c>
    </row>
    <row r="982" spans="12:13" x14ac:dyDescent="0.25">
      <c r="L982" s="9" t="str">
        <f t="shared" si="30"/>
        <v>#N/A</v>
      </c>
      <c r="M982" s="9">
        <f t="shared" si="31"/>
        <v>0</v>
      </c>
    </row>
    <row r="983" spans="12:13" x14ac:dyDescent="0.25">
      <c r="L983" s="9" t="str">
        <f t="shared" si="30"/>
        <v>#N/A</v>
      </c>
      <c r="M983" s="9">
        <f t="shared" si="31"/>
        <v>0</v>
      </c>
    </row>
    <row r="984" spans="12:13" x14ac:dyDescent="0.25">
      <c r="L984" s="9" t="str">
        <f t="shared" si="30"/>
        <v>#N/A</v>
      </c>
      <c r="M984" s="9">
        <f t="shared" si="31"/>
        <v>0</v>
      </c>
    </row>
    <row r="985" spans="12:13" x14ac:dyDescent="0.25">
      <c r="L985" s="9" t="str">
        <f t="shared" si="30"/>
        <v>#N/A</v>
      </c>
      <c r="M985" s="9">
        <f t="shared" si="31"/>
        <v>0</v>
      </c>
    </row>
    <row r="986" spans="12:13" x14ac:dyDescent="0.25">
      <c r="L986" s="9" t="str">
        <f t="shared" si="30"/>
        <v>#N/A</v>
      </c>
      <c r="M986" s="9">
        <f t="shared" si="31"/>
        <v>0</v>
      </c>
    </row>
    <row r="987" spans="12:13" x14ac:dyDescent="0.25">
      <c r="L987" s="9" t="str">
        <f t="shared" si="30"/>
        <v>#N/A</v>
      </c>
      <c r="M987" s="9">
        <f t="shared" si="31"/>
        <v>0</v>
      </c>
    </row>
    <row r="988" spans="12:13" x14ac:dyDescent="0.25">
      <c r="L988" s="9" t="str">
        <f t="shared" si="30"/>
        <v>#N/A</v>
      </c>
      <c r="M988" s="9">
        <f t="shared" si="31"/>
        <v>0</v>
      </c>
    </row>
    <row r="989" spans="12:13" x14ac:dyDescent="0.25">
      <c r="L989" s="9" t="str">
        <f t="shared" si="30"/>
        <v>#N/A</v>
      </c>
      <c r="M989" s="9">
        <f t="shared" si="31"/>
        <v>0</v>
      </c>
    </row>
    <row r="990" spans="12:13" x14ac:dyDescent="0.25">
      <c r="L990" s="9" t="str">
        <f t="shared" si="30"/>
        <v>#N/A</v>
      </c>
      <c r="M990" s="9">
        <f t="shared" si="31"/>
        <v>0</v>
      </c>
    </row>
    <row r="991" spans="12:13" x14ac:dyDescent="0.25">
      <c r="L991" s="9" t="str">
        <f t="shared" si="30"/>
        <v>#N/A</v>
      </c>
      <c r="M991" s="9">
        <f t="shared" si="31"/>
        <v>0</v>
      </c>
    </row>
    <row r="992" spans="12:13" x14ac:dyDescent="0.25">
      <c r="L992" s="9" t="str">
        <f t="shared" si="30"/>
        <v>#N/A</v>
      </c>
      <c r="M992" s="9">
        <f t="shared" si="31"/>
        <v>0</v>
      </c>
    </row>
    <row r="993" spans="12:13" x14ac:dyDescent="0.25">
      <c r="L993" s="9" t="str">
        <f t="shared" si="30"/>
        <v>#N/A</v>
      </c>
      <c r="M993" s="9">
        <f t="shared" si="31"/>
        <v>0</v>
      </c>
    </row>
    <row r="994" spans="12:13" x14ac:dyDescent="0.25">
      <c r="L994" s="9" t="str">
        <f t="shared" si="30"/>
        <v>#N/A</v>
      </c>
      <c r="M994" s="9">
        <f t="shared" si="31"/>
        <v>0</v>
      </c>
    </row>
    <row r="995" spans="12:13" x14ac:dyDescent="0.25">
      <c r="L995" s="9" t="str">
        <f t="shared" si="30"/>
        <v>#N/A</v>
      </c>
      <c r="M995" s="9">
        <f t="shared" si="31"/>
        <v>0</v>
      </c>
    </row>
    <row r="996" spans="12:13" x14ac:dyDescent="0.25">
      <c r="L996" s="9" t="str">
        <f t="shared" si="30"/>
        <v>#N/A</v>
      </c>
      <c r="M996" s="9">
        <f t="shared" si="31"/>
        <v>0</v>
      </c>
    </row>
    <row r="997" spans="12:13" x14ac:dyDescent="0.25">
      <c r="L997" s="9" t="str">
        <f t="shared" si="30"/>
        <v>#N/A</v>
      </c>
      <c r="M997" s="9">
        <f t="shared" si="31"/>
        <v>0</v>
      </c>
    </row>
    <row r="998" spans="12:13" x14ac:dyDescent="0.25">
      <c r="L998" s="9" t="str">
        <f t="shared" si="30"/>
        <v>#N/A</v>
      </c>
      <c r="M998" s="9">
        <f t="shared" si="31"/>
        <v>0</v>
      </c>
    </row>
    <row r="999" spans="12:13" x14ac:dyDescent="0.25">
      <c r="L999" s="9" t="str">
        <f t="shared" si="30"/>
        <v>#N/A</v>
      </c>
      <c r="M999" s="9">
        <f t="shared" si="31"/>
        <v>0</v>
      </c>
    </row>
    <row r="1000" spans="12:13" x14ac:dyDescent="0.25">
      <c r="L1000" s="9" t="str">
        <f t="shared" si="30"/>
        <v>#N/A</v>
      </c>
      <c r="M1000" s="9">
        <f t="shared" si="31"/>
        <v>0</v>
      </c>
    </row>
    <row r="1001" spans="12:13" x14ac:dyDescent="0.25">
      <c r="L1001" s="9" t="str">
        <f t="shared" si="30"/>
        <v>#N/A</v>
      </c>
      <c r="M1001" s="9">
        <f t="shared" si="31"/>
        <v>0</v>
      </c>
    </row>
    <row r="1002" spans="12:13" x14ac:dyDescent="0.25">
      <c r="L1002" s="9" t="str">
        <f t="shared" si="30"/>
        <v>#N/A</v>
      </c>
      <c r="M1002" s="9">
        <f t="shared" si="31"/>
        <v>0</v>
      </c>
    </row>
    <row r="1003" spans="12:13" x14ac:dyDescent="0.25">
      <c r="L1003" s="9" t="str">
        <f t="shared" si="30"/>
        <v>#N/A</v>
      </c>
      <c r="M1003" s="9">
        <f t="shared" si="31"/>
        <v>0</v>
      </c>
    </row>
    <row r="1004" spans="12:13" x14ac:dyDescent="0.25">
      <c r="L1004" s="9" t="str">
        <f t="shared" si="30"/>
        <v>#N/A</v>
      </c>
      <c r="M1004" s="9">
        <f t="shared" si="31"/>
        <v>0</v>
      </c>
    </row>
    <row r="1005" spans="12:13" x14ac:dyDescent="0.25">
      <c r="L1005" s="9" t="str">
        <f t="shared" si="30"/>
        <v>#N/A</v>
      </c>
      <c r="M1005" s="9">
        <f t="shared" si="31"/>
        <v>0</v>
      </c>
    </row>
    <row r="1006" spans="12:13" x14ac:dyDescent="0.25">
      <c r="L1006" s="9" t="str">
        <f t="shared" si="30"/>
        <v>#N/A</v>
      </c>
      <c r="M1006" s="9">
        <f t="shared" si="31"/>
        <v>0</v>
      </c>
    </row>
    <row r="1007" spans="12:13" x14ac:dyDescent="0.25">
      <c r="L1007" s="9" t="str">
        <f t="shared" si="30"/>
        <v>#N/A</v>
      </c>
      <c r="M1007" s="9">
        <f t="shared" si="31"/>
        <v>0</v>
      </c>
    </row>
    <row r="1008" spans="12:13" x14ac:dyDescent="0.25">
      <c r="L1008" s="9" t="str">
        <f t="shared" si="30"/>
        <v>#N/A</v>
      </c>
      <c r="M1008" s="9">
        <f t="shared" si="31"/>
        <v>0</v>
      </c>
    </row>
    <row r="1009" spans="12:13" x14ac:dyDescent="0.25">
      <c r="L1009" s="9" t="str">
        <f t="shared" si="30"/>
        <v>#N/A</v>
      </c>
      <c r="M1009" s="9">
        <f t="shared" si="31"/>
        <v>0</v>
      </c>
    </row>
    <row r="1010" spans="12:13" x14ac:dyDescent="0.25">
      <c r="L1010" s="9" t="str">
        <f t="shared" si="30"/>
        <v>#N/A</v>
      </c>
      <c r="M1010" s="9">
        <f t="shared" si="31"/>
        <v>0</v>
      </c>
    </row>
    <row r="1011" spans="12:13" x14ac:dyDescent="0.25">
      <c r="L1011" s="9" t="str">
        <f t="shared" si="30"/>
        <v>#N/A</v>
      </c>
      <c r="M1011" s="9">
        <f t="shared" si="31"/>
        <v>0</v>
      </c>
    </row>
    <row r="1012" spans="12:13" x14ac:dyDescent="0.25">
      <c r="L1012" s="9" t="str">
        <f t="shared" si="30"/>
        <v>#N/A</v>
      </c>
      <c r="M1012" s="9">
        <f t="shared" si="31"/>
        <v>0</v>
      </c>
    </row>
    <row r="1013" spans="12:13" x14ac:dyDescent="0.25">
      <c r="L1013" s="9" t="str">
        <f t="shared" si="30"/>
        <v>#N/A</v>
      </c>
      <c r="M1013" s="9">
        <f t="shared" si="31"/>
        <v>0</v>
      </c>
    </row>
    <row r="1014" spans="12:13" x14ac:dyDescent="0.25">
      <c r="L1014" s="9" t="str">
        <f t="shared" si="30"/>
        <v>#N/A</v>
      </c>
      <c r="M1014" s="9">
        <f t="shared" si="31"/>
        <v>0</v>
      </c>
    </row>
    <row r="1015" spans="12:13" x14ac:dyDescent="0.25">
      <c r="L1015" s="9" t="str">
        <f t="shared" si="30"/>
        <v>#N/A</v>
      </c>
      <c r="M1015" s="9">
        <f t="shared" si="31"/>
        <v>0</v>
      </c>
    </row>
    <row r="1016" spans="12:13" x14ac:dyDescent="0.25">
      <c r="L1016" s="9" t="str">
        <f t="shared" si="30"/>
        <v>#N/A</v>
      </c>
      <c r="M1016" s="9">
        <f t="shared" si="31"/>
        <v>0</v>
      </c>
    </row>
    <row r="1017" spans="12:13" x14ac:dyDescent="0.25">
      <c r="L1017" s="9" t="str">
        <f t="shared" si="30"/>
        <v>#N/A</v>
      </c>
      <c r="M1017" s="9">
        <f t="shared" si="31"/>
        <v>0</v>
      </c>
    </row>
    <row r="1018" spans="12:13" x14ac:dyDescent="0.25">
      <c r="L1018" s="9" t="str">
        <f t="shared" si="30"/>
        <v>#N/A</v>
      </c>
      <c r="M1018" s="9">
        <f t="shared" si="31"/>
        <v>0</v>
      </c>
    </row>
    <row r="1019" spans="12:13" x14ac:dyDescent="0.25">
      <c r="L1019" s="9" t="str">
        <f t="shared" si="30"/>
        <v>#N/A</v>
      </c>
      <c r="M1019" s="9">
        <f t="shared" si="31"/>
        <v>0</v>
      </c>
    </row>
    <row r="1020" spans="12:13" x14ac:dyDescent="0.25">
      <c r="L1020" s="9" t="str">
        <f t="shared" si="30"/>
        <v>#N/A</v>
      </c>
      <c r="M1020" s="9">
        <f t="shared" si="31"/>
        <v>0</v>
      </c>
    </row>
    <row r="1021" spans="12:13" x14ac:dyDescent="0.25">
      <c r="L1021" s="9" t="str">
        <f t="shared" si="30"/>
        <v>#N/A</v>
      </c>
      <c r="M1021" s="9">
        <f t="shared" si="31"/>
        <v>0</v>
      </c>
    </row>
    <row r="1022" spans="12:13" x14ac:dyDescent="0.25">
      <c r="L1022" s="9" t="str">
        <f t="shared" si="30"/>
        <v>#N/A</v>
      </c>
      <c r="M1022" s="9">
        <f t="shared" si="31"/>
        <v>0</v>
      </c>
    </row>
    <row r="1023" spans="12:13" x14ac:dyDescent="0.25">
      <c r="L1023" s="9" t="str">
        <f t="shared" si="30"/>
        <v>#N/A</v>
      </c>
      <c r="M1023" s="9">
        <f t="shared" si="31"/>
        <v>0</v>
      </c>
    </row>
    <row r="1024" spans="12:13" x14ac:dyDescent="0.25">
      <c r="L1024" s="9" t="str">
        <f t="shared" si="30"/>
        <v>#N/A</v>
      </c>
      <c r="M1024" s="9">
        <f t="shared" si="31"/>
        <v>0</v>
      </c>
    </row>
    <row r="1025" spans="12:13" x14ac:dyDescent="0.25">
      <c r="L1025" s="9" t="str">
        <f t="shared" si="30"/>
        <v>#N/A</v>
      </c>
      <c r="M1025" s="9">
        <f t="shared" si="31"/>
        <v>0</v>
      </c>
    </row>
    <row r="1026" spans="12:13" x14ac:dyDescent="0.25">
      <c r="L1026" s="9" t="str">
        <f t="shared" ref="L1026:L1089" si="32">IF((D1026^2+(B1026*$K$2)^2)&gt;0,1/(D1026^2+(B1026*$K$2)^2),"#N/A")</f>
        <v>#N/A</v>
      </c>
      <c r="M1026" s="9">
        <f t="shared" si="31"/>
        <v>0</v>
      </c>
    </row>
    <row r="1027" spans="12:13" x14ac:dyDescent="0.25">
      <c r="L1027" s="9" t="str">
        <f t="shared" si="32"/>
        <v>#N/A</v>
      </c>
      <c r="M1027" s="9">
        <f t="shared" ref="M1027:M1090" si="33">IF(B1027*$K$2&gt;D1027*10,1,0)</f>
        <v>0</v>
      </c>
    </row>
    <row r="1028" spans="12:13" x14ac:dyDescent="0.25">
      <c r="L1028" s="9" t="str">
        <f t="shared" si="32"/>
        <v>#N/A</v>
      </c>
      <c r="M1028" s="9">
        <f t="shared" si="33"/>
        <v>0</v>
      </c>
    </row>
    <row r="1029" spans="12:13" x14ac:dyDescent="0.25">
      <c r="L1029" s="9" t="str">
        <f t="shared" si="32"/>
        <v>#N/A</v>
      </c>
      <c r="M1029" s="9">
        <f t="shared" si="33"/>
        <v>0</v>
      </c>
    </row>
    <row r="1030" spans="12:13" x14ac:dyDescent="0.25">
      <c r="L1030" s="9" t="str">
        <f t="shared" si="32"/>
        <v>#N/A</v>
      </c>
      <c r="M1030" s="9">
        <f t="shared" si="33"/>
        <v>0</v>
      </c>
    </row>
    <row r="1031" spans="12:13" x14ac:dyDescent="0.25">
      <c r="L1031" s="9" t="str">
        <f t="shared" si="32"/>
        <v>#N/A</v>
      </c>
      <c r="M1031" s="9">
        <f t="shared" si="33"/>
        <v>0</v>
      </c>
    </row>
    <row r="1032" spans="12:13" x14ac:dyDescent="0.25">
      <c r="L1032" s="9" t="str">
        <f t="shared" si="32"/>
        <v>#N/A</v>
      </c>
      <c r="M1032" s="9">
        <f t="shared" si="33"/>
        <v>0</v>
      </c>
    </row>
    <row r="1033" spans="12:13" x14ac:dyDescent="0.25">
      <c r="L1033" s="9" t="str">
        <f t="shared" si="32"/>
        <v>#N/A</v>
      </c>
      <c r="M1033" s="9">
        <f t="shared" si="33"/>
        <v>0</v>
      </c>
    </row>
    <row r="1034" spans="12:13" x14ac:dyDescent="0.25">
      <c r="L1034" s="9" t="str">
        <f t="shared" si="32"/>
        <v>#N/A</v>
      </c>
      <c r="M1034" s="9">
        <f t="shared" si="33"/>
        <v>0</v>
      </c>
    </row>
    <row r="1035" spans="12:13" x14ac:dyDescent="0.25">
      <c r="L1035" s="9" t="str">
        <f t="shared" si="32"/>
        <v>#N/A</v>
      </c>
      <c r="M1035" s="9">
        <f t="shared" si="33"/>
        <v>0</v>
      </c>
    </row>
    <row r="1036" spans="12:13" x14ac:dyDescent="0.25">
      <c r="L1036" s="9" t="str">
        <f t="shared" si="32"/>
        <v>#N/A</v>
      </c>
      <c r="M1036" s="9">
        <f t="shared" si="33"/>
        <v>0</v>
      </c>
    </row>
    <row r="1037" spans="12:13" x14ac:dyDescent="0.25">
      <c r="L1037" s="9" t="str">
        <f t="shared" si="32"/>
        <v>#N/A</v>
      </c>
      <c r="M1037" s="9">
        <f t="shared" si="33"/>
        <v>0</v>
      </c>
    </row>
    <row r="1038" spans="12:13" x14ac:dyDescent="0.25">
      <c r="L1038" s="9" t="str">
        <f t="shared" si="32"/>
        <v>#N/A</v>
      </c>
      <c r="M1038" s="9">
        <f t="shared" si="33"/>
        <v>0</v>
      </c>
    </row>
    <row r="1039" spans="12:13" x14ac:dyDescent="0.25">
      <c r="L1039" s="9" t="str">
        <f t="shared" si="32"/>
        <v>#N/A</v>
      </c>
      <c r="M1039" s="9">
        <f t="shared" si="33"/>
        <v>0</v>
      </c>
    </row>
    <row r="1040" spans="12:13" x14ac:dyDescent="0.25">
      <c r="L1040" s="9" t="str">
        <f t="shared" si="32"/>
        <v>#N/A</v>
      </c>
      <c r="M1040" s="9">
        <f t="shared" si="33"/>
        <v>0</v>
      </c>
    </row>
    <row r="1041" spans="12:13" x14ac:dyDescent="0.25">
      <c r="L1041" s="9" t="str">
        <f t="shared" si="32"/>
        <v>#N/A</v>
      </c>
      <c r="M1041" s="9">
        <f t="shared" si="33"/>
        <v>0</v>
      </c>
    </row>
    <row r="1042" spans="12:13" x14ac:dyDescent="0.25">
      <c r="L1042" s="9" t="str">
        <f t="shared" si="32"/>
        <v>#N/A</v>
      </c>
      <c r="M1042" s="9">
        <f t="shared" si="33"/>
        <v>0</v>
      </c>
    </row>
    <row r="1043" spans="12:13" x14ac:dyDescent="0.25">
      <c r="L1043" s="9" t="str">
        <f t="shared" si="32"/>
        <v>#N/A</v>
      </c>
      <c r="M1043" s="9">
        <f t="shared" si="33"/>
        <v>0</v>
      </c>
    </row>
    <row r="1044" spans="12:13" x14ac:dyDescent="0.25">
      <c r="L1044" s="9" t="str">
        <f t="shared" si="32"/>
        <v>#N/A</v>
      </c>
      <c r="M1044" s="9">
        <f t="shared" si="33"/>
        <v>0</v>
      </c>
    </row>
    <row r="1045" spans="12:13" x14ac:dyDescent="0.25">
      <c r="L1045" s="9" t="str">
        <f t="shared" si="32"/>
        <v>#N/A</v>
      </c>
      <c r="M1045" s="9">
        <f t="shared" si="33"/>
        <v>0</v>
      </c>
    </row>
    <row r="1046" spans="12:13" x14ac:dyDescent="0.25">
      <c r="L1046" s="9" t="str">
        <f t="shared" si="32"/>
        <v>#N/A</v>
      </c>
      <c r="M1046" s="9">
        <f t="shared" si="33"/>
        <v>0</v>
      </c>
    </row>
    <row r="1047" spans="12:13" x14ac:dyDescent="0.25">
      <c r="L1047" s="9" t="str">
        <f t="shared" si="32"/>
        <v>#N/A</v>
      </c>
      <c r="M1047" s="9">
        <f t="shared" si="33"/>
        <v>0</v>
      </c>
    </row>
    <row r="1048" spans="12:13" x14ac:dyDescent="0.25">
      <c r="L1048" s="9" t="str">
        <f t="shared" si="32"/>
        <v>#N/A</v>
      </c>
      <c r="M1048" s="9">
        <f t="shared" si="33"/>
        <v>0</v>
      </c>
    </row>
    <row r="1049" spans="12:13" x14ac:dyDescent="0.25">
      <c r="L1049" s="9" t="str">
        <f t="shared" si="32"/>
        <v>#N/A</v>
      </c>
      <c r="M1049" s="9">
        <f t="shared" si="33"/>
        <v>0</v>
      </c>
    </row>
    <row r="1050" spans="12:13" x14ac:dyDescent="0.25">
      <c r="L1050" s="9" t="str">
        <f t="shared" si="32"/>
        <v>#N/A</v>
      </c>
      <c r="M1050" s="9">
        <f t="shared" si="33"/>
        <v>0</v>
      </c>
    </row>
    <row r="1051" spans="12:13" x14ac:dyDescent="0.25">
      <c r="L1051" s="9" t="str">
        <f t="shared" si="32"/>
        <v>#N/A</v>
      </c>
      <c r="M1051" s="9">
        <f t="shared" si="33"/>
        <v>0</v>
      </c>
    </row>
    <row r="1052" spans="12:13" x14ac:dyDescent="0.25">
      <c r="L1052" s="9" t="str">
        <f t="shared" si="32"/>
        <v>#N/A</v>
      </c>
      <c r="M1052" s="9">
        <f t="shared" si="33"/>
        <v>0</v>
      </c>
    </row>
    <row r="1053" spans="12:13" x14ac:dyDescent="0.25">
      <c r="L1053" s="9" t="str">
        <f t="shared" si="32"/>
        <v>#N/A</v>
      </c>
      <c r="M1053" s="9">
        <f t="shared" si="33"/>
        <v>0</v>
      </c>
    </row>
    <row r="1054" spans="12:13" x14ac:dyDescent="0.25">
      <c r="L1054" s="9" t="str">
        <f t="shared" si="32"/>
        <v>#N/A</v>
      </c>
      <c r="M1054" s="9">
        <f t="shared" si="33"/>
        <v>0</v>
      </c>
    </row>
    <row r="1055" spans="12:13" x14ac:dyDescent="0.25">
      <c r="L1055" s="9" t="str">
        <f t="shared" si="32"/>
        <v>#N/A</v>
      </c>
      <c r="M1055" s="9">
        <f t="shared" si="33"/>
        <v>0</v>
      </c>
    </row>
    <row r="1056" spans="12:13" x14ac:dyDescent="0.25">
      <c r="L1056" s="9" t="str">
        <f t="shared" si="32"/>
        <v>#N/A</v>
      </c>
      <c r="M1056" s="9">
        <f t="shared" si="33"/>
        <v>0</v>
      </c>
    </row>
    <row r="1057" spans="12:13" x14ac:dyDescent="0.25">
      <c r="L1057" s="9" t="str">
        <f t="shared" si="32"/>
        <v>#N/A</v>
      </c>
      <c r="M1057" s="9">
        <f t="shared" si="33"/>
        <v>0</v>
      </c>
    </row>
    <row r="1058" spans="12:13" x14ac:dyDescent="0.25">
      <c r="L1058" s="9" t="str">
        <f t="shared" si="32"/>
        <v>#N/A</v>
      </c>
      <c r="M1058" s="9">
        <f t="shared" si="33"/>
        <v>0</v>
      </c>
    </row>
    <row r="1059" spans="12:13" x14ac:dyDescent="0.25">
      <c r="L1059" s="9" t="str">
        <f t="shared" si="32"/>
        <v>#N/A</v>
      </c>
      <c r="M1059" s="9">
        <f t="shared" si="33"/>
        <v>0</v>
      </c>
    </row>
    <row r="1060" spans="12:13" x14ac:dyDescent="0.25">
      <c r="L1060" s="9" t="str">
        <f t="shared" si="32"/>
        <v>#N/A</v>
      </c>
      <c r="M1060" s="9">
        <f t="shared" si="33"/>
        <v>0</v>
      </c>
    </row>
    <row r="1061" spans="12:13" x14ac:dyDescent="0.25">
      <c r="L1061" s="9" t="str">
        <f t="shared" si="32"/>
        <v>#N/A</v>
      </c>
      <c r="M1061" s="9">
        <f t="shared" si="33"/>
        <v>0</v>
      </c>
    </row>
    <row r="1062" spans="12:13" x14ac:dyDescent="0.25">
      <c r="L1062" s="9" t="str">
        <f t="shared" si="32"/>
        <v>#N/A</v>
      </c>
      <c r="M1062" s="9">
        <f t="shared" si="33"/>
        <v>0</v>
      </c>
    </row>
    <row r="1063" spans="12:13" x14ac:dyDescent="0.25">
      <c r="L1063" s="9" t="str">
        <f t="shared" si="32"/>
        <v>#N/A</v>
      </c>
      <c r="M1063" s="9">
        <f t="shared" si="33"/>
        <v>0</v>
      </c>
    </row>
    <row r="1064" spans="12:13" x14ac:dyDescent="0.25">
      <c r="L1064" s="9" t="str">
        <f t="shared" si="32"/>
        <v>#N/A</v>
      </c>
      <c r="M1064" s="9">
        <f t="shared" si="33"/>
        <v>0</v>
      </c>
    </row>
    <row r="1065" spans="12:13" x14ac:dyDescent="0.25">
      <c r="L1065" s="9" t="str">
        <f t="shared" si="32"/>
        <v>#N/A</v>
      </c>
      <c r="M1065" s="9">
        <f t="shared" si="33"/>
        <v>0</v>
      </c>
    </row>
    <row r="1066" spans="12:13" x14ac:dyDescent="0.25">
      <c r="L1066" s="9" t="str">
        <f t="shared" si="32"/>
        <v>#N/A</v>
      </c>
      <c r="M1066" s="9">
        <f t="shared" si="33"/>
        <v>0</v>
      </c>
    </row>
    <row r="1067" spans="12:13" x14ac:dyDescent="0.25">
      <c r="L1067" s="9" t="str">
        <f t="shared" si="32"/>
        <v>#N/A</v>
      </c>
      <c r="M1067" s="9">
        <f t="shared" si="33"/>
        <v>0</v>
      </c>
    </row>
    <row r="1068" spans="12:13" x14ac:dyDescent="0.25">
      <c r="L1068" s="9" t="str">
        <f t="shared" si="32"/>
        <v>#N/A</v>
      </c>
      <c r="M1068" s="9">
        <f t="shared" si="33"/>
        <v>0</v>
      </c>
    </row>
    <row r="1069" spans="12:13" x14ac:dyDescent="0.25">
      <c r="L1069" s="9" t="str">
        <f t="shared" si="32"/>
        <v>#N/A</v>
      </c>
      <c r="M1069" s="9">
        <f t="shared" si="33"/>
        <v>0</v>
      </c>
    </row>
    <row r="1070" spans="12:13" x14ac:dyDescent="0.25">
      <c r="L1070" s="9" t="str">
        <f t="shared" si="32"/>
        <v>#N/A</v>
      </c>
      <c r="M1070" s="9">
        <f t="shared" si="33"/>
        <v>0</v>
      </c>
    </row>
    <row r="1071" spans="12:13" x14ac:dyDescent="0.25">
      <c r="L1071" s="9" t="str">
        <f t="shared" si="32"/>
        <v>#N/A</v>
      </c>
      <c r="M1071" s="9">
        <f t="shared" si="33"/>
        <v>0</v>
      </c>
    </row>
    <row r="1072" spans="12:13" x14ac:dyDescent="0.25">
      <c r="L1072" s="9" t="str">
        <f t="shared" si="32"/>
        <v>#N/A</v>
      </c>
      <c r="M1072" s="9">
        <f t="shared" si="33"/>
        <v>0</v>
      </c>
    </row>
    <row r="1073" spans="12:13" x14ac:dyDescent="0.25">
      <c r="L1073" s="9" t="str">
        <f t="shared" si="32"/>
        <v>#N/A</v>
      </c>
      <c r="M1073" s="9">
        <f t="shared" si="33"/>
        <v>0</v>
      </c>
    </row>
    <row r="1074" spans="12:13" x14ac:dyDescent="0.25">
      <c r="L1074" s="9" t="str">
        <f t="shared" si="32"/>
        <v>#N/A</v>
      </c>
      <c r="M1074" s="9">
        <f t="shared" si="33"/>
        <v>0</v>
      </c>
    </row>
    <row r="1075" spans="12:13" x14ac:dyDescent="0.25">
      <c r="L1075" s="9" t="str">
        <f t="shared" si="32"/>
        <v>#N/A</v>
      </c>
      <c r="M1075" s="9">
        <f t="shared" si="33"/>
        <v>0</v>
      </c>
    </row>
    <row r="1076" spans="12:13" x14ac:dyDescent="0.25">
      <c r="L1076" s="9" t="str">
        <f t="shared" si="32"/>
        <v>#N/A</v>
      </c>
      <c r="M1076" s="9">
        <f t="shared" si="33"/>
        <v>0</v>
      </c>
    </row>
    <row r="1077" spans="12:13" x14ac:dyDescent="0.25">
      <c r="L1077" s="9" t="str">
        <f t="shared" si="32"/>
        <v>#N/A</v>
      </c>
      <c r="M1077" s="9">
        <f t="shared" si="33"/>
        <v>0</v>
      </c>
    </row>
    <row r="1078" spans="12:13" x14ac:dyDescent="0.25">
      <c r="L1078" s="9" t="str">
        <f t="shared" si="32"/>
        <v>#N/A</v>
      </c>
      <c r="M1078" s="9">
        <f t="shared" si="33"/>
        <v>0</v>
      </c>
    </row>
    <row r="1079" spans="12:13" x14ac:dyDescent="0.25">
      <c r="L1079" s="9" t="str">
        <f t="shared" si="32"/>
        <v>#N/A</v>
      </c>
      <c r="M1079" s="9">
        <f t="shared" si="33"/>
        <v>0</v>
      </c>
    </row>
    <row r="1080" spans="12:13" x14ac:dyDescent="0.25">
      <c r="L1080" s="9" t="str">
        <f t="shared" si="32"/>
        <v>#N/A</v>
      </c>
      <c r="M1080" s="9">
        <f t="shared" si="33"/>
        <v>0</v>
      </c>
    </row>
    <row r="1081" spans="12:13" x14ac:dyDescent="0.25">
      <c r="L1081" s="9" t="str">
        <f t="shared" si="32"/>
        <v>#N/A</v>
      </c>
      <c r="M1081" s="9">
        <f t="shared" si="33"/>
        <v>0</v>
      </c>
    </row>
    <row r="1082" spans="12:13" x14ac:dyDescent="0.25">
      <c r="L1082" s="9" t="str">
        <f t="shared" si="32"/>
        <v>#N/A</v>
      </c>
      <c r="M1082" s="9">
        <f t="shared" si="33"/>
        <v>0</v>
      </c>
    </row>
    <row r="1083" spans="12:13" x14ac:dyDescent="0.25">
      <c r="L1083" s="9" t="str">
        <f t="shared" si="32"/>
        <v>#N/A</v>
      </c>
      <c r="M1083" s="9">
        <f t="shared" si="33"/>
        <v>0</v>
      </c>
    </row>
    <row r="1084" spans="12:13" x14ac:dyDescent="0.25">
      <c r="L1084" s="9" t="str">
        <f t="shared" si="32"/>
        <v>#N/A</v>
      </c>
      <c r="M1084" s="9">
        <f t="shared" si="33"/>
        <v>0</v>
      </c>
    </row>
    <row r="1085" spans="12:13" x14ac:dyDescent="0.25">
      <c r="L1085" s="9" t="str">
        <f t="shared" si="32"/>
        <v>#N/A</v>
      </c>
      <c r="M1085" s="9">
        <f t="shared" si="33"/>
        <v>0</v>
      </c>
    </row>
    <row r="1086" spans="12:13" x14ac:dyDescent="0.25">
      <c r="L1086" s="9" t="str">
        <f t="shared" si="32"/>
        <v>#N/A</v>
      </c>
      <c r="M1086" s="9">
        <f t="shared" si="33"/>
        <v>0</v>
      </c>
    </row>
    <row r="1087" spans="12:13" x14ac:dyDescent="0.25">
      <c r="L1087" s="9" t="str">
        <f t="shared" si="32"/>
        <v>#N/A</v>
      </c>
      <c r="M1087" s="9">
        <f t="shared" si="33"/>
        <v>0</v>
      </c>
    </row>
    <row r="1088" spans="12:13" x14ac:dyDescent="0.25">
      <c r="L1088" s="9" t="str">
        <f t="shared" si="32"/>
        <v>#N/A</v>
      </c>
      <c r="M1088" s="9">
        <f t="shared" si="33"/>
        <v>0</v>
      </c>
    </row>
    <row r="1089" spans="12:13" x14ac:dyDescent="0.25">
      <c r="L1089" s="9" t="str">
        <f t="shared" si="32"/>
        <v>#N/A</v>
      </c>
      <c r="M1089" s="9">
        <f t="shared" si="33"/>
        <v>0</v>
      </c>
    </row>
    <row r="1090" spans="12:13" x14ac:dyDescent="0.25">
      <c r="L1090" s="9" t="str">
        <f t="shared" ref="L1090:L1153" si="34">IF((D1090^2+(B1090*$K$2)^2)&gt;0,1/(D1090^2+(B1090*$K$2)^2),"#N/A")</f>
        <v>#N/A</v>
      </c>
      <c r="M1090" s="9">
        <f t="shared" si="33"/>
        <v>0</v>
      </c>
    </row>
    <row r="1091" spans="12:13" x14ac:dyDescent="0.25">
      <c r="L1091" s="9" t="str">
        <f t="shared" si="34"/>
        <v>#N/A</v>
      </c>
      <c r="M1091" s="9">
        <f t="shared" ref="M1091:M1154" si="35">IF(B1091*$K$2&gt;D1091*10,1,0)</f>
        <v>0</v>
      </c>
    </row>
    <row r="1092" spans="12:13" x14ac:dyDescent="0.25">
      <c r="L1092" s="9" t="str">
        <f t="shared" si="34"/>
        <v>#N/A</v>
      </c>
      <c r="M1092" s="9">
        <f t="shared" si="35"/>
        <v>0</v>
      </c>
    </row>
    <row r="1093" spans="12:13" x14ac:dyDescent="0.25">
      <c r="L1093" s="9" t="str">
        <f t="shared" si="34"/>
        <v>#N/A</v>
      </c>
      <c r="M1093" s="9">
        <f t="shared" si="35"/>
        <v>0</v>
      </c>
    </row>
    <row r="1094" spans="12:13" x14ac:dyDescent="0.25">
      <c r="L1094" s="9" t="str">
        <f t="shared" si="34"/>
        <v>#N/A</v>
      </c>
      <c r="M1094" s="9">
        <f t="shared" si="35"/>
        <v>0</v>
      </c>
    </row>
    <row r="1095" spans="12:13" x14ac:dyDescent="0.25">
      <c r="L1095" s="9" t="str">
        <f t="shared" si="34"/>
        <v>#N/A</v>
      </c>
      <c r="M1095" s="9">
        <f t="shared" si="35"/>
        <v>0</v>
      </c>
    </row>
    <row r="1096" spans="12:13" x14ac:dyDescent="0.25">
      <c r="L1096" s="9" t="str">
        <f t="shared" si="34"/>
        <v>#N/A</v>
      </c>
      <c r="M1096" s="9">
        <f t="shared" si="35"/>
        <v>0</v>
      </c>
    </row>
    <row r="1097" spans="12:13" x14ac:dyDescent="0.25">
      <c r="L1097" s="9" t="str">
        <f t="shared" si="34"/>
        <v>#N/A</v>
      </c>
      <c r="M1097" s="9">
        <f t="shared" si="35"/>
        <v>0</v>
      </c>
    </row>
    <row r="1098" spans="12:13" x14ac:dyDescent="0.25">
      <c r="L1098" s="9" t="str">
        <f t="shared" si="34"/>
        <v>#N/A</v>
      </c>
      <c r="M1098" s="9">
        <f t="shared" si="35"/>
        <v>0</v>
      </c>
    </row>
    <row r="1099" spans="12:13" x14ac:dyDescent="0.25">
      <c r="L1099" s="9" t="str">
        <f t="shared" si="34"/>
        <v>#N/A</v>
      </c>
      <c r="M1099" s="9">
        <f t="shared" si="35"/>
        <v>0</v>
      </c>
    </row>
    <row r="1100" spans="12:13" x14ac:dyDescent="0.25">
      <c r="L1100" s="9" t="str">
        <f t="shared" si="34"/>
        <v>#N/A</v>
      </c>
      <c r="M1100" s="9">
        <f t="shared" si="35"/>
        <v>0</v>
      </c>
    </row>
    <row r="1101" spans="12:13" x14ac:dyDescent="0.25">
      <c r="L1101" s="9" t="str">
        <f t="shared" si="34"/>
        <v>#N/A</v>
      </c>
      <c r="M1101" s="9">
        <f t="shared" si="35"/>
        <v>0</v>
      </c>
    </row>
    <row r="1102" spans="12:13" x14ac:dyDescent="0.25">
      <c r="L1102" s="9" t="str">
        <f t="shared" si="34"/>
        <v>#N/A</v>
      </c>
      <c r="M1102" s="9">
        <f t="shared" si="35"/>
        <v>0</v>
      </c>
    </row>
    <row r="1103" spans="12:13" x14ac:dyDescent="0.25">
      <c r="L1103" s="9" t="str">
        <f t="shared" si="34"/>
        <v>#N/A</v>
      </c>
      <c r="M1103" s="9">
        <f t="shared" si="35"/>
        <v>0</v>
      </c>
    </row>
    <row r="1104" spans="12:13" x14ac:dyDescent="0.25">
      <c r="L1104" s="9" t="str">
        <f t="shared" si="34"/>
        <v>#N/A</v>
      </c>
      <c r="M1104" s="9">
        <f t="shared" si="35"/>
        <v>0</v>
      </c>
    </row>
    <row r="1105" spans="12:13" x14ac:dyDescent="0.25">
      <c r="L1105" s="9" t="str">
        <f t="shared" si="34"/>
        <v>#N/A</v>
      </c>
      <c r="M1105" s="9">
        <f t="shared" si="35"/>
        <v>0</v>
      </c>
    </row>
    <row r="1106" spans="12:13" x14ac:dyDescent="0.25">
      <c r="L1106" s="9" t="str">
        <f t="shared" si="34"/>
        <v>#N/A</v>
      </c>
      <c r="M1106" s="9">
        <f t="shared" si="35"/>
        <v>0</v>
      </c>
    </row>
    <row r="1107" spans="12:13" x14ac:dyDescent="0.25">
      <c r="L1107" s="9" t="str">
        <f t="shared" si="34"/>
        <v>#N/A</v>
      </c>
      <c r="M1107" s="9">
        <f t="shared" si="35"/>
        <v>0</v>
      </c>
    </row>
    <row r="1108" spans="12:13" x14ac:dyDescent="0.25">
      <c r="L1108" s="9" t="str">
        <f t="shared" si="34"/>
        <v>#N/A</v>
      </c>
      <c r="M1108" s="9">
        <f t="shared" si="35"/>
        <v>0</v>
      </c>
    </row>
    <row r="1109" spans="12:13" x14ac:dyDescent="0.25">
      <c r="L1109" s="9" t="str">
        <f t="shared" si="34"/>
        <v>#N/A</v>
      </c>
      <c r="M1109" s="9">
        <f t="shared" si="35"/>
        <v>0</v>
      </c>
    </row>
    <row r="1110" spans="12:13" x14ac:dyDescent="0.25">
      <c r="L1110" s="9" t="str">
        <f t="shared" si="34"/>
        <v>#N/A</v>
      </c>
      <c r="M1110" s="9">
        <f t="shared" si="35"/>
        <v>0</v>
      </c>
    </row>
    <row r="1111" spans="12:13" x14ac:dyDescent="0.25">
      <c r="L1111" s="9" t="str">
        <f t="shared" si="34"/>
        <v>#N/A</v>
      </c>
      <c r="M1111" s="9">
        <f t="shared" si="35"/>
        <v>0</v>
      </c>
    </row>
    <row r="1112" spans="12:13" x14ac:dyDescent="0.25">
      <c r="L1112" s="9" t="str">
        <f t="shared" si="34"/>
        <v>#N/A</v>
      </c>
      <c r="M1112" s="9">
        <f t="shared" si="35"/>
        <v>0</v>
      </c>
    </row>
    <row r="1113" spans="12:13" x14ac:dyDescent="0.25">
      <c r="L1113" s="9" t="str">
        <f t="shared" si="34"/>
        <v>#N/A</v>
      </c>
      <c r="M1113" s="9">
        <f t="shared" si="35"/>
        <v>0</v>
      </c>
    </row>
    <row r="1114" spans="12:13" x14ac:dyDescent="0.25">
      <c r="L1114" s="9" t="str">
        <f t="shared" si="34"/>
        <v>#N/A</v>
      </c>
      <c r="M1114" s="9">
        <f t="shared" si="35"/>
        <v>0</v>
      </c>
    </row>
    <row r="1115" spans="12:13" x14ac:dyDescent="0.25">
      <c r="L1115" s="9" t="str">
        <f t="shared" si="34"/>
        <v>#N/A</v>
      </c>
      <c r="M1115" s="9">
        <f t="shared" si="35"/>
        <v>0</v>
      </c>
    </row>
    <row r="1116" spans="12:13" x14ac:dyDescent="0.25">
      <c r="L1116" s="9" t="str">
        <f t="shared" si="34"/>
        <v>#N/A</v>
      </c>
      <c r="M1116" s="9">
        <f t="shared" si="35"/>
        <v>0</v>
      </c>
    </row>
    <row r="1117" spans="12:13" x14ac:dyDescent="0.25">
      <c r="L1117" s="9" t="str">
        <f t="shared" si="34"/>
        <v>#N/A</v>
      </c>
      <c r="M1117" s="9">
        <f t="shared" si="35"/>
        <v>0</v>
      </c>
    </row>
    <row r="1118" spans="12:13" x14ac:dyDescent="0.25">
      <c r="L1118" s="9" t="str">
        <f t="shared" si="34"/>
        <v>#N/A</v>
      </c>
      <c r="M1118" s="9">
        <f t="shared" si="35"/>
        <v>0</v>
      </c>
    </row>
    <row r="1119" spans="12:13" x14ac:dyDescent="0.25">
      <c r="L1119" s="9" t="str">
        <f t="shared" si="34"/>
        <v>#N/A</v>
      </c>
      <c r="M1119" s="9">
        <f t="shared" si="35"/>
        <v>0</v>
      </c>
    </row>
    <row r="1120" spans="12:13" x14ac:dyDescent="0.25">
      <c r="L1120" s="9" t="str">
        <f t="shared" si="34"/>
        <v>#N/A</v>
      </c>
      <c r="M1120" s="9">
        <f t="shared" si="35"/>
        <v>0</v>
      </c>
    </row>
    <row r="1121" spans="12:13" x14ac:dyDescent="0.25">
      <c r="L1121" s="9" t="str">
        <f t="shared" si="34"/>
        <v>#N/A</v>
      </c>
      <c r="M1121" s="9">
        <f t="shared" si="35"/>
        <v>0</v>
      </c>
    </row>
    <row r="1122" spans="12:13" x14ac:dyDescent="0.25">
      <c r="L1122" s="9" t="str">
        <f t="shared" si="34"/>
        <v>#N/A</v>
      </c>
      <c r="M1122" s="9">
        <f t="shared" si="35"/>
        <v>0</v>
      </c>
    </row>
    <row r="1123" spans="12:13" x14ac:dyDescent="0.25">
      <c r="L1123" s="9" t="str">
        <f t="shared" si="34"/>
        <v>#N/A</v>
      </c>
      <c r="M1123" s="9">
        <f t="shared" si="35"/>
        <v>0</v>
      </c>
    </row>
    <row r="1124" spans="12:13" x14ac:dyDescent="0.25">
      <c r="L1124" s="9" t="str">
        <f t="shared" si="34"/>
        <v>#N/A</v>
      </c>
      <c r="M1124" s="9">
        <f t="shared" si="35"/>
        <v>0</v>
      </c>
    </row>
    <row r="1125" spans="12:13" x14ac:dyDescent="0.25">
      <c r="L1125" s="9" t="str">
        <f t="shared" si="34"/>
        <v>#N/A</v>
      </c>
      <c r="M1125" s="9">
        <f t="shared" si="35"/>
        <v>0</v>
      </c>
    </row>
    <row r="1126" spans="12:13" x14ac:dyDescent="0.25">
      <c r="L1126" s="9" t="str">
        <f t="shared" si="34"/>
        <v>#N/A</v>
      </c>
      <c r="M1126" s="9">
        <f t="shared" si="35"/>
        <v>0</v>
      </c>
    </row>
    <row r="1127" spans="12:13" x14ac:dyDescent="0.25">
      <c r="L1127" s="9" t="str">
        <f t="shared" si="34"/>
        <v>#N/A</v>
      </c>
      <c r="M1127" s="9">
        <f t="shared" si="35"/>
        <v>0</v>
      </c>
    </row>
    <row r="1128" spans="12:13" x14ac:dyDescent="0.25">
      <c r="L1128" s="9" t="str">
        <f t="shared" si="34"/>
        <v>#N/A</v>
      </c>
      <c r="M1128" s="9">
        <f t="shared" si="35"/>
        <v>0</v>
      </c>
    </row>
    <row r="1129" spans="12:13" x14ac:dyDescent="0.25">
      <c r="L1129" s="9" t="str">
        <f t="shared" si="34"/>
        <v>#N/A</v>
      </c>
      <c r="M1129" s="9">
        <f t="shared" si="35"/>
        <v>0</v>
      </c>
    </row>
    <row r="1130" spans="12:13" x14ac:dyDescent="0.25">
      <c r="L1130" s="9" t="str">
        <f t="shared" si="34"/>
        <v>#N/A</v>
      </c>
      <c r="M1130" s="9">
        <f t="shared" si="35"/>
        <v>0</v>
      </c>
    </row>
    <row r="1131" spans="12:13" x14ac:dyDescent="0.25">
      <c r="L1131" s="9" t="str">
        <f t="shared" si="34"/>
        <v>#N/A</v>
      </c>
      <c r="M1131" s="9">
        <f t="shared" si="35"/>
        <v>0</v>
      </c>
    </row>
    <row r="1132" spans="12:13" x14ac:dyDescent="0.25">
      <c r="L1132" s="9" t="str">
        <f t="shared" si="34"/>
        <v>#N/A</v>
      </c>
      <c r="M1132" s="9">
        <f t="shared" si="35"/>
        <v>0</v>
      </c>
    </row>
    <row r="1133" spans="12:13" x14ac:dyDescent="0.25">
      <c r="L1133" s="9" t="str">
        <f t="shared" si="34"/>
        <v>#N/A</v>
      </c>
      <c r="M1133" s="9">
        <f t="shared" si="35"/>
        <v>0</v>
      </c>
    </row>
    <row r="1134" spans="12:13" x14ac:dyDescent="0.25">
      <c r="L1134" s="9" t="str">
        <f t="shared" si="34"/>
        <v>#N/A</v>
      </c>
      <c r="M1134" s="9">
        <f t="shared" si="35"/>
        <v>0</v>
      </c>
    </row>
    <row r="1135" spans="12:13" x14ac:dyDescent="0.25">
      <c r="L1135" s="9" t="str">
        <f t="shared" si="34"/>
        <v>#N/A</v>
      </c>
      <c r="M1135" s="9">
        <f t="shared" si="35"/>
        <v>0</v>
      </c>
    </row>
    <row r="1136" spans="12:13" x14ac:dyDescent="0.25">
      <c r="L1136" s="9" t="str">
        <f t="shared" si="34"/>
        <v>#N/A</v>
      </c>
      <c r="M1136" s="9">
        <f t="shared" si="35"/>
        <v>0</v>
      </c>
    </row>
    <row r="1137" spans="12:13" x14ac:dyDescent="0.25">
      <c r="L1137" s="9" t="str">
        <f t="shared" si="34"/>
        <v>#N/A</v>
      </c>
      <c r="M1137" s="9">
        <f t="shared" si="35"/>
        <v>0</v>
      </c>
    </row>
    <row r="1138" spans="12:13" x14ac:dyDescent="0.25">
      <c r="L1138" s="9" t="str">
        <f t="shared" si="34"/>
        <v>#N/A</v>
      </c>
      <c r="M1138" s="9">
        <f t="shared" si="35"/>
        <v>0</v>
      </c>
    </row>
    <row r="1139" spans="12:13" x14ac:dyDescent="0.25">
      <c r="L1139" s="9" t="str">
        <f t="shared" si="34"/>
        <v>#N/A</v>
      </c>
      <c r="M1139" s="9">
        <f t="shared" si="35"/>
        <v>0</v>
      </c>
    </row>
    <row r="1140" spans="12:13" x14ac:dyDescent="0.25">
      <c r="L1140" s="9" t="str">
        <f t="shared" si="34"/>
        <v>#N/A</v>
      </c>
      <c r="M1140" s="9">
        <f t="shared" si="35"/>
        <v>0</v>
      </c>
    </row>
    <row r="1141" spans="12:13" x14ac:dyDescent="0.25">
      <c r="L1141" s="9" t="str">
        <f t="shared" si="34"/>
        <v>#N/A</v>
      </c>
      <c r="M1141" s="9">
        <f t="shared" si="35"/>
        <v>0</v>
      </c>
    </row>
    <row r="1142" spans="12:13" x14ac:dyDescent="0.25">
      <c r="L1142" s="9" t="str">
        <f t="shared" si="34"/>
        <v>#N/A</v>
      </c>
      <c r="M1142" s="9">
        <f t="shared" si="35"/>
        <v>0</v>
      </c>
    </row>
    <row r="1143" spans="12:13" x14ac:dyDescent="0.25">
      <c r="L1143" s="9" t="str">
        <f t="shared" si="34"/>
        <v>#N/A</v>
      </c>
      <c r="M1143" s="9">
        <f t="shared" si="35"/>
        <v>0</v>
      </c>
    </row>
    <row r="1144" spans="12:13" x14ac:dyDescent="0.25">
      <c r="L1144" s="9" t="str">
        <f t="shared" si="34"/>
        <v>#N/A</v>
      </c>
      <c r="M1144" s="9">
        <f t="shared" si="35"/>
        <v>0</v>
      </c>
    </row>
    <row r="1145" spans="12:13" x14ac:dyDescent="0.25">
      <c r="L1145" s="9" t="str">
        <f t="shared" si="34"/>
        <v>#N/A</v>
      </c>
      <c r="M1145" s="9">
        <f t="shared" si="35"/>
        <v>0</v>
      </c>
    </row>
    <row r="1146" spans="12:13" x14ac:dyDescent="0.25">
      <c r="L1146" s="9" t="str">
        <f t="shared" si="34"/>
        <v>#N/A</v>
      </c>
      <c r="M1146" s="9">
        <f t="shared" si="35"/>
        <v>0</v>
      </c>
    </row>
    <row r="1147" spans="12:13" x14ac:dyDescent="0.25">
      <c r="L1147" s="9" t="str">
        <f t="shared" si="34"/>
        <v>#N/A</v>
      </c>
      <c r="M1147" s="9">
        <f t="shared" si="35"/>
        <v>0</v>
      </c>
    </row>
    <row r="1148" spans="12:13" x14ac:dyDescent="0.25">
      <c r="L1148" s="9" t="str">
        <f t="shared" si="34"/>
        <v>#N/A</v>
      </c>
      <c r="M1148" s="9">
        <f t="shared" si="35"/>
        <v>0</v>
      </c>
    </row>
    <row r="1149" spans="12:13" x14ac:dyDescent="0.25">
      <c r="L1149" s="9" t="str">
        <f t="shared" si="34"/>
        <v>#N/A</v>
      </c>
      <c r="M1149" s="9">
        <f t="shared" si="35"/>
        <v>0</v>
      </c>
    </row>
    <row r="1150" spans="12:13" x14ac:dyDescent="0.25">
      <c r="L1150" s="9" t="str">
        <f t="shared" si="34"/>
        <v>#N/A</v>
      </c>
      <c r="M1150" s="9">
        <f t="shared" si="35"/>
        <v>0</v>
      </c>
    </row>
    <row r="1151" spans="12:13" x14ac:dyDescent="0.25">
      <c r="L1151" s="9" t="str">
        <f t="shared" si="34"/>
        <v>#N/A</v>
      </c>
      <c r="M1151" s="9">
        <f t="shared" si="35"/>
        <v>0</v>
      </c>
    </row>
    <row r="1152" spans="12:13" x14ac:dyDescent="0.25">
      <c r="L1152" s="9" t="str">
        <f t="shared" si="34"/>
        <v>#N/A</v>
      </c>
      <c r="M1152" s="9">
        <f t="shared" si="35"/>
        <v>0</v>
      </c>
    </row>
    <row r="1153" spans="12:13" x14ac:dyDescent="0.25">
      <c r="L1153" s="9" t="str">
        <f t="shared" si="34"/>
        <v>#N/A</v>
      </c>
      <c r="M1153" s="9">
        <f t="shared" si="35"/>
        <v>0</v>
      </c>
    </row>
    <row r="1154" spans="12:13" x14ac:dyDescent="0.25">
      <c r="L1154" s="9" t="str">
        <f t="shared" ref="L1154:L1217" si="36">IF((D1154^2+(B1154*$K$2)^2)&gt;0,1/(D1154^2+(B1154*$K$2)^2),"#N/A")</f>
        <v>#N/A</v>
      </c>
      <c r="M1154" s="9">
        <f t="shared" si="35"/>
        <v>0</v>
      </c>
    </row>
    <row r="1155" spans="12:13" x14ac:dyDescent="0.25">
      <c r="L1155" s="9" t="str">
        <f t="shared" si="36"/>
        <v>#N/A</v>
      </c>
      <c r="M1155" s="9">
        <f t="shared" ref="M1155:M1218" si="37">IF(B1155*$K$2&gt;D1155*10,1,0)</f>
        <v>0</v>
      </c>
    </row>
    <row r="1156" spans="12:13" x14ac:dyDescent="0.25">
      <c r="L1156" s="9" t="str">
        <f t="shared" si="36"/>
        <v>#N/A</v>
      </c>
      <c r="M1156" s="9">
        <f t="shared" si="37"/>
        <v>0</v>
      </c>
    </row>
    <row r="1157" spans="12:13" x14ac:dyDescent="0.25">
      <c r="L1157" s="9" t="str">
        <f t="shared" si="36"/>
        <v>#N/A</v>
      </c>
      <c r="M1157" s="9">
        <f t="shared" si="37"/>
        <v>0</v>
      </c>
    </row>
    <row r="1158" spans="12:13" x14ac:dyDescent="0.25">
      <c r="L1158" s="9" t="str">
        <f t="shared" si="36"/>
        <v>#N/A</v>
      </c>
      <c r="M1158" s="9">
        <f t="shared" si="37"/>
        <v>0</v>
      </c>
    </row>
    <row r="1159" spans="12:13" x14ac:dyDescent="0.25">
      <c r="L1159" s="9" t="str">
        <f t="shared" si="36"/>
        <v>#N/A</v>
      </c>
      <c r="M1159" s="9">
        <f t="shared" si="37"/>
        <v>0</v>
      </c>
    </row>
    <row r="1160" spans="12:13" x14ac:dyDescent="0.25">
      <c r="L1160" s="9" t="str">
        <f t="shared" si="36"/>
        <v>#N/A</v>
      </c>
      <c r="M1160" s="9">
        <f t="shared" si="37"/>
        <v>0</v>
      </c>
    </row>
    <row r="1161" spans="12:13" x14ac:dyDescent="0.25">
      <c r="L1161" s="9" t="str">
        <f t="shared" si="36"/>
        <v>#N/A</v>
      </c>
      <c r="M1161" s="9">
        <f t="shared" si="37"/>
        <v>0</v>
      </c>
    </row>
    <row r="1162" spans="12:13" x14ac:dyDescent="0.25">
      <c r="L1162" s="9" t="str">
        <f t="shared" si="36"/>
        <v>#N/A</v>
      </c>
      <c r="M1162" s="9">
        <f t="shared" si="37"/>
        <v>0</v>
      </c>
    </row>
    <row r="1163" spans="12:13" x14ac:dyDescent="0.25">
      <c r="L1163" s="9" t="str">
        <f t="shared" si="36"/>
        <v>#N/A</v>
      </c>
      <c r="M1163" s="9">
        <f t="shared" si="37"/>
        <v>0</v>
      </c>
    </row>
    <row r="1164" spans="12:13" x14ac:dyDescent="0.25">
      <c r="L1164" s="9" t="str">
        <f t="shared" si="36"/>
        <v>#N/A</v>
      </c>
      <c r="M1164" s="9">
        <f t="shared" si="37"/>
        <v>0</v>
      </c>
    </row>
    <row r="1165" spans="12:13" x14ac:dyDescent="0.25">
      <c r="L1165" s="9" t="str">
        <f t="shared" si="36"/>
        <v>#N/A</v>
      </c>
      <c r="M1165" s="9">
        <f t="shared" si="37"/>
        <v>0</v>
      </c>
    </row>
    <row r="1166" spans="12:13" x14ac:dyDescent="0.25">
      <c r="L1166" s="9" t="str">
        <f t="shared" si="36"/>
        <v>#N/A</v>
      </c>
      <c r="M1166" s="9">
        <f t="shared" si="37"/>
        <v>0</v>
      </c>
    </row>
    <row r="1167" spans="12:13" x14ac:dyDescent="0.25">
      <c r="L1167" s="9" t="str">
        <f t="shared" si="36"/>
        <v>#N/A</v>
      </c>
      <c r="M1167" s="9">
        <f t="shared" si="37"/>
        <v>0</v>
      </c>
    </row>
    <row r="1168" spans="12:13" x14ac:dyDescent="0.25">
      <c r="L1168" s="9" t="str">
        <f t="shared" si="36"/>
        <v>#N/A</v>
      </c>
      <c r="M1168" s="9">
        <f t="shared" si="37"/>
        <v>0</v>
      </c>
    </row>
    <row r="1169" spans="12:13" x14ac:dyDescent="0.25">
      <c r="L1169" s="9" t="str">
        <f t="shared" si="36"/>
        <v>#N/A</v>
      </c>
      <c r="M1169" s="9">
        <f t="shared" si="37"/>
        <v>0</v>
      </c>
    </row>
    <row r="1170" spans="12:13" x14ac:dyDescent="0.25">
      <c r="L1170" s="9" t="str">
        <f t="shared" si="36"/>
        <v>#N/A</v>
      </c>
      <c r="M1170" s="9">
        <f t="shared" si="37"/>
        <v>0</v>
      </c>
    </row>
    <row r="1171" spans="12:13" x14ac:dyDescent="0.25">
      <c r="L1171" s="9" t="str">
        <f t="shared" si="36"/>
        <v>#N/A</v>
      </c>
      <c r="M1171" s="9">
        <f t="shared" si="37"/>
        <v>0</v>
      </c>
    </row>
    <row r="1172" spans="12:13" x14ac:dyDescent="0.25">
      <c r="L1172" s="9" t="str">
        <f t="shared" si="36"/>
        <v>#N/A</v>
      </c>
      <c r="M1172" s="9">
        <f t="shared" si="37"/>
        <v>0</v>
      </c>
    </row>
    <row r="1173" spans="12:13" x14ac:dyDescent="0.25">
      <c r="L1173" s="9" t="str">
        <f t="shared" si="36"/>
        <v>#N/A</v>
      </c>
      <c r="M1173" s="9">
        <f t="shared" si="37"/>
        <v>0</v>
      </c>
    </row>
    <row r="1174" spans="12:13" x14ac:dyDescent="0.25">
      <c r="L1174" s="9" t="str">
        <f t="shared" si="36"/>
        <v>#N/A</v>
      </c>
      <c r="M1174" s="9">
        <f t="shared" si="37"/>
        <v>0</v>
      </c>
    </row>
    <row r="1175" spans="12:13" x14ac:dyDescent="0.25">
      <c r="L1175" s="9" t="str">
        <f t="shared" si="36"/>
        <v>#N/A</v>
      </c>
      <c r="M1175" s="9">
        <f t="shared" si="37"/>
        <v>0</v>
      </c>
    </row>
    <row r="1176" spans="12:13" x14ac:dyDescent="0.25">
      <c r="L1176" s="9" t="str">
        <f t="shared" si="36"/>
        <v>#N/A</v>
      </c>
      <c r="M1176" s="9">
        <f t="shared" si="37"/>
        <v>0</v>
      </c>
    </row>
    <row r="1177" spans="12:13" x14ac:dyDescent="0.25">
      <c r="L1177" s="9" t="str">
        <f t="shared" si="36"/>
        <v>#N/A</v>
      </c>
      <c r="M1177" s="9">
        <f t="shared" si="37"/>
        <v>0</v>
      </c>
    </row>
    <row r="1178" spans="12:13" x14ac:dyDescent="0.25">
      <c r="L1178" s="9" t="str">
        <f t="shared" si="36"/>
        <v>#N/A</v>
      </c>
      <c r="M1178" s="9">
        <f t="shared" si="37"/>
        <v>0</v>
      </c>
    </row>
    <row r="1179" spans="12:13" x14ac:dyDescent="0.25">
      <c r="L1179" s="9" t="str">
        <f t="shared" si="36"/>
        <v>#N/A</v>
      </c>
      <c r="M1179" s="9">
        <f t="shared" si="37"/>
        <v>0</v>
      </c>
    </row>
    <row r="1180" spans="12:13" x14ac:dyDescent="0.25">
      <c r="L1180" s="9" t="str">
        <f t="shared" si="36"/>
        <v>#N/A</v>
      </c>
      <c r="M1180" s="9">
        <f t="shared" si="37"/>
        <v>0</v>
      </c>
    </row>
    <row r="1181" spans="12:13" x14ac:dyDescent="0.25">
      <c r="L1181" s="9" t="str">
        <f t="shared" si="36"/>
        <v>#N/A</v>
      </c>
      <c r="M1181" s="9">
        <f t="shared" si="37"/>
        <v>0</v>
      </c>
    </row>
    <row r="1182" spans="12:13" x14ac:dyDescent="0.25">
      <c r="L1182" s="9" t="str">
        <f t="shared" si="36"/>
        <v>#N/A</v>
      </c>
      <c r="M1182" s="9">
        <f t="shared" si="37"/>
        <v>0</v>
      </c>
    </row>
    <row r="1183" spans="12:13" x14ac:dyDescent="0.25">
      <c r="L1183" s="9" t="str">
        <f t="shared" si="36"/>
        <v>#N/A</v>
      </c>
      <c r="M1183" s="9">
        <f t="shared" si="37"/>
        <v>0</v>
      </c>
    </row>
    <row r="1184" spans="12:13" x14ac:dyDescent="0.25">
      <c r="L1184" s="9" t="str">
        <f t="shared" si="36"/>
        <v>#N/A</v>
      </c>
      <c r="M1184" s="9">
        <f t="shared" si="37"/>
        <v>0</v>
      </c>
    </row>
    <row r="1185" spans="12:13" x14ac:dyDescent="0.25">
      <c r="L1185" s="9" t="str">
        <f t="shared" si="36"/>
        <v>#N/A</v>
      </c>
      <c r="M1185" s="9">
        <f t="shared" si="37"/>
        <v>0</v>
      </c>
    </row>
    <row r="1186" spans="12:13" x14ac:dyDescent="0.25">
      <c r="L1186" s="9" t="str">
        <f t="shared" si="36"/>
        <v>#N/A</v>
      </c>
      <c r="M1186" s="9">
        <f t="shared" si="37"/>
        <v>0</v>
      </c>
    </row>
    <row r="1187" spans="12:13" x14ac:dyDescent="0.25">
      <c r="L1187" s="9" t="str">
        <f t="shared" si="36"/>
        <v>#N/A</v>
      </c>
      <c r="M1187" s="9">
        <f t="shared" si="37"/>
        <v>0</v>
      </c>
    </row>
    <row r="1188" spans="12:13" x14ac:dyDescent="0.25">
      <c r="L1188" s="9" t="str">
        <f t="shared" si="36"/>
        <v>#N/A</v>
      </c>
      <c r="M1188" s="9">
        <f t="shared" si="37"/>
        <v>0</v>
      </c>
    </row>
    <row r="1189" spans="12:13" x14ac:dyDescent="0.25">
      <c r="L1189" s="9" t="str">
        <f t="shared" si="36"/>
        <v>#N/A</v>
      </c>
      <c r="M1189" s="9">
        <f t="shared" si="37"/>
        <v>0</v>
      </c>
    </row>
    <row r="1190" spans="12:13" x14ac:dyDescent="0.25">
      <c r="L1190" s="9" t="str">
        <f t="shared" si="36"/>
        <v>#N/A</v>
      </c>
      <c r="M1190" s="9">
        <f t="shared" si="37"/>
        <v>0</v>
      </c>
    </row>
    <row r="1191" spans="12:13" x14ac:dyDescent="0.25">
      <c r="L1191" s="9" t="str">
        <f t="shared" si="36"/>
        <v>#N/A</v>
      </c>
      <c r="M1191" s="9">
        <f t="shared" si="37"/>
        <v>0</v>
      </c>
    </row>
    <row r="1192" spans="12:13" x14ac:dyDescent="0.25">
      <c r="L1192" s="9" t="str">
        <f t="shared" si="36"/>
        <v>#N/A</v>
      </c>
      <c r="M1192" s="9">
        <f t="shared" si="37"/>
        <v>0</v>
      </c>
    </row>
    <row r="1193" spans="12:13" x14ac:dyDescent="0.25">
      <c r="L1193" s="9" t="str">
        <f t="shared" si="36"/>
        <v>#N/A</v>
      </c>
      <c r="M1193" s="9">
        <f t="shared" si="37"/>
        <v>0</v>
      </c>
    </row>
    <row r="1194" spans="12:13" x14ac:dyDescent="0.25">
      <c r="L1194" s="9" t="str">
        <f t="shared" si="36"/>
        <v>#N/A</v>
      </c>
      <c r="M1194" s="9">
        <f t="shared" si="37"/>
        <v>0</v>
      </c>
    </row>
    <row r="1195" spans="12:13" x14ac:dyDescent="0.25">
      <c r="L1195" s="9" t="str">
        <f t="shared" si="36"/>
        <v>#N/A</v>
      </c>
      <c r="M1195" s="9">
        <f t="shared" si="37"/>
        <v>0</v>
      </c>
    </row>
    <row r="1196" spans="12:13" x14ac:dyDescent="0.25">
      <c r="L1196" s="9" t="str">
        <f t="shared" si="36"/>
        <v>#N/A</v>
      </c>
      <c r="M1196" s="9">
        <f t="shared" si="37"/>
        <v>0</v>
      </c>
    </row>
    <row r="1197" spans="12:13" x14ac:dyDescent="0.25">
      <c r="L1197" s="9" t="str">
        <f t="shared" si="36"/>
        <v>#N/A</v>
      </c>
      <c r="M1197" s="9">
        <f t="shared" si="37"/>
        <v>0</v>
      </c>
    </row>
    <row r="1198" spans="12:13" x14ac:dyDescent="0.25">
      <c r="L1198" s="9" t="str">
        <f t="shared" si="36"/>
        <v>#N/A</v>
      </c>
      <c r="M1198" s="9">
        <f t="shared" si="37"/>
        <v>0</v>
      </c>
    </row>
    <row r="1199" spans="12:13" x14ac:dyDescent="0.25">
      <c r="L1199" s="9" t="str">
        <f t="shared" si="36"/>
        <v>#N/A</v>
      </c>
      <c r="M1199" s="9">
        <f t="shared" si="37"/>
        <v>0</v>
      </c>
    </row>
    <row r="1200" spans="12:13" x14ac:dyDescent="0.25">
      <c r="L1200" s="9" t="str">
        <f t="shared" si="36"/>
        <v>#N/A</v>
      </c>
      <c r="M1200" s="9">
        <f t="shared" si="37"/>
        <v>0</v>
      </c>
    </row>
    <row r="1201" spans="12:13" x14ac:dyDescent="0.25">
      <c r="L1201" s="9" t="str">
        <f t="shared" si="36"/>
        <v>#N/A</v>
      </c>
      <c r="M1201" s="9">
        <f t="shared" si="37"/>
        <v>0</v>
      </c>
    </row>
    <row r="1202" spans="12:13" x14ac:dyDescent="0.25">
      <c r="L1202" s="9" t="str">
        <f t="shared" si="36"/>
        <v>#N/A</v>
      </c>
      <c r="M1202" s="9">
        <f t="shared" si="37"/>
        <v>0</v>
      </c>
    </row>
    <row r="1203" spans="12:13" x14ac:dyDescent="0.25">
      <c r="L1203" s="9" t="str">
        <f t="shared" si="36"/>
        <v>#N/A</v>
      </c>
      <c r="M1203" s="9">
        <f t="shared" si="37"/>
        <v>0</v>
      </c>
    </row>
    <row r="1204" spans="12:13" x14ac:dyDescent="0.25">
      <c r="L1204" s="9" t="str">
        <f t="shared" si="36"/>
        <v>#N/A</v>
      </c>
      <c r="M1204" s="9">
        <f t="shared" si="37"/>
        <v>0</v>
      </c>
    </row>
    <row r="1205" spans="12:13" x14ac:dyDescent="0.25">
      <c r="L1205" s="9" t="str">
        <f t="shared" si="36"/>
        <v>#N/A</v>
      </c>
      <c r="M1205" s="9">
        <f t="shared" si="37"/>
        <v>0</v>
      </c>
    </row>
    <row r="1206" spans="12:13" x14ac:dyDescent="0.25">
      <c r="L1206" s="9" t="str">
        <f t="shared" si="36"/>
        <v>#N/A</v>
      </c>
      <c r="M1206" s="9">
        <f t="shared" si="37"/>
        <v>0</v>
      </c>
    </row>
    <row r="1207" spans="12:13" x14ac:dyDescent="0.25">
      <c r="L1207" s="9" t="str">
        <f t="shared" si="36"/>
        <v>#N/A</v>
      </c>
      <c r="M1207" s="9">
        <f t="shared" si="37"/>
        <v>0</v>
      </c>
    </row>
    <row r="1208" spans="12:13" x14ac:dyDescent="0.25">
      <c r="L1208" s="9" t="str">
        <f t="shared" si="36"/>
        <v>#N/A</v>
      </c>
      <c r="M1208" s="9">
        <f t="shared" si="37"/>
        <v>0</v>
      </c>
    </row>
    <row r="1209" spans="12:13" x14ac:dyDescent="0.25">
      <c r="L1209" s="9" t="str">
        <f t="shared" si="36"/>
        <v>#N/A</v>
      </c>
      <c r="M1209" s="9">
        <f t="shared" si="37"/>
        <v>0</v>
      </c>
    </row>
    <row r="1210" spans="12:13" x14ac:dyDescent="0.25">
      <c r="L1210" s="9" t="str">
        <f t="shared" si="36"/>
        <v>#N/A</v>
      </c>
      <c r="M1210" s="9">
        <f t="shared" si="37"/>
        <v>0</v>
      </c>
    </row>
    <row r="1211" spans="12:13" x14ac:dyDescent="0.25">
      <c r="L1211" s="9" t="str">
        <f t="shared" si="36"/>
        <v>#N/A</v>
      </c>
      <c r="M1211" s="9">
        <f t="shared" si="37"/>
        <v>0</v>
      </c>
    </row>
    <row r="1212" spans="12:13" x14ac:dyDescent="0.25">
      <c r="L1212" s="9" t="str">
        <f t="shared" si="36"/>
        <v>#N/A</v>
      </c>
      <c r="M1212" s="9">
        <f t="shared" si="37"/>
        <v>0</v>
      </c>
    </row>
    <row r="1213" spans="12:13" x14ac:dyDescent="0.25">
      <c r="L1213" s="9" t="str">
        <f t="shared" si="36"/>
        <v>#N/A</v>
      </c>
      <c r="M1213" s="9">
        <f t="shared" si="37"/>
        <v>0</v>
      </c>
    </row>
    <row r="1214" spans="12:13" x14ac:dyDescent="0.25">
      <c r="L1214" s="9" t="str">
        <f t="shared" si="36"/>
        <v>#N/A</v>
      </c>
      <c r="M1214" s="9">
        <f t="shared" si="37"/>
        <v>0</v>
      </c>
    </row>
    <row r="1215" spans="12:13" x14ac:dyDescent="0.25">
      <c r="L1215" s="9" t="str">
        <f t="shared" si="36"/>
        <v>#N/A</v>
      </c>
      <c r="M1215" s="9">
        <f t="shared" si="37"/>
        <v>0</v>
      </c>
    </row>
    <row r="1216" spans="12:13" x14ac:dyDescent="0.25">
      <c r="L1216" s="9" t="str">
        <f t="shared" si="36"/>
        <v>#N/A</v>
      </c>
      <c r="M1216" s="9">
        <f t="shared" si="37"/>
        <v>0</v>
      </c>
    </row>
    <row r="1217" spans="12:13" x14ac:dyDescent="0.25">
      <c r="L1217" s="9" t="str">
        <f t="shared" si="36"/>
        <v>#N/A</v>
      </c>
      <c r="M1217" s="9">
        <f t="shared" si="37"/>
        <v>0</v>
      </c>
    </row>
    <row r="1218" spans="12:13" x14ac:dyDescent="0.25">
      <c r="L1218" s="9" t="str">
        <f t="shared" ref="L1218:L1281" si="38">IF((D1218^2+(B1218*$K$2)^2)&gt;0,1/(D1218^2+(B1218*$K$2)^2),"#N/A")</f>
        <v>#N/A</v>
      </c>
      <c r="M1218" s="9">
        <f t="shared" si="37"/>
        <v>0</v>
      </c>
    </row>
    <row r="1219" spans="12:13" x14ac:dyDescent="0.25">
      <c r="L1219" s="9" t="str">
        <f t="shared" si="38"/>
        <v>#N/A</v>
      </c>
      <c r="M1219" s="9">
        <f t="shared" ref="M1219:M1282" si="39">IF(B1219*$K$2&gt;D1219*10,1,0)</f>
        <v>0</v>
      </c>
    </row>
    <row r="1220" spans="12:13" x14ac:dyDescent="0.25">
      <c r="L1220" s="9" t="str">
        <f t="shared" si="38"/>
        <v>#N/A</v>
      </c>
      <c r="M1220" s="9">
        <f t="shared" si="39"/>
        <v>0</v>
      </c>
    </row>
    <row r="1221" spans="12:13" x14ac:dyDescent="0.25">
      <c r="L1221" s="9" t="str">
        <f t="shared" si="38"/>
        <v>#N/A</v>
      </c>
      <c r="M1221" s="9">
        <f t="shared" si="39"/>
        <v>0</v>
      </c>
    </row>
    <row r="1222" spans="12:13" x14ac:dyDescent="0.25">
      <c r="L1222" s="9" t="str">
        <f t="shared" si="38"/>
        <v>#N/A</v>
      </c>
      <c r="M1222" s="9">
        <f t="shared" si="39"/>
        <v>0</v>
      </c>
    </row>
    <row r="1223" spans="12:13" x14ac:dyDescent="0.25">
      <c r="L1223" s="9" t="str">
        <f t="shared" si="38"/>
        <v>#N/A</v>
      </c>
      <c r="M1223" s="9">
        <f t="shared" si="39"/>
        <v>0</v>
      </c>
    </row>
    <row r="1224" spans="12:13" x14ac:dyDescent="0.25">
      <c r="L1224" s="9" t="str">
        <f t="shared" si="38"/>
        <v>#N/A</v>
      </c>
      <c r="M1224" s="9">
        <f t="shared" si="39"/>
        <v>0</v>
      </c>
    </row>
    <row r="1225" spans="12:13" x14ac:dyDescent="0.25">
      <c r="L1225" s="9" t="str">
        <f t="shared" si="38"/>
        <v>#N/A</v>
      </c>
      <c r="M1225" s="9">
        <f t="shared" si="39"/>
        <v>0</v>
      </c>
    </row>
    <row r="1226" spans="12:13" x14ac:dyDescent="0.25">
      <c r="L1226" s="9" t="str">
        <f t="shared" si="38"/>
        <v>#N/A</v>
      </c>
      <c r="M1226" s="9">
        <f t="shared" si="39"/>
        <v>0</v>
      </c>
    </row>
    <row r="1227" spans="12:13" x14ac:dyDescent="0.25">
      <c r="L1227" s="9" t="str">
        <f t="shared" si="38"/>
        <v>#N/A</v>
      </c>
      <c r="M1227" s="9">
        <f t="shared" si="39"/>
        <v>0</v>
      </c>
    </row>
    <row r="1228" spans="12:13" x14ac:dyDescent="0.25">
      <c r="L1228" s="9" t="str">
        <f t="shared" si="38"/>
        <v>#N/A</v>
      </c>
      <c r="M1228" s="9">
        <f t="shared" si="39"/>
        <v>0</v>
      </c>
    </row>
    <row r="1229" spans="12:13" x14ac:dyDescent="0.25">
      <c r="L1229" s="9" t="str">
        <f t="shared" si="38"/>
        <v>#N/A</v>
      </c>
      <c r="M1229" s="9">
        <f t="shared" si="39"/>
        <v>0</v>
      </c>
    </row>
    <row r="1230" spans="12:13" x14ac:dyDescent="0.25">
      <c r="L1230" s="9" t="str">
        <f t="shared" si="38"/>
        <v>#N/A</v>
      </c>
      <c r="M1230" s="9">
        <f t="shared" si="39"/>
        <v>0</v>
      </c>
    </row>
    <row r="1231" spans="12:13" x14ac:dyDescent="0.25">
      <c r="L1231" s="9" t="str">
        <f t="shared" si="38"/>
        <v>#N/A</v>
      </c>
      <c r="M1231" s="9">
        <f t="shared" si="39"/>
        <v>0</v>
      </c>
    </row>
    <row r="1232" spans="12:13" x14ac:dyDescent="0.25">
      <c r="L1232" s="9" t="str">
        <f t="shared" si="38"/>
        <v>#N/A</v>
      </c>
      <c r="M1232" s="9">
        <f t="shared" si="39"/>
        <v>0</v>
      </c>
    </row>
    <row r="1233" spans="12:13" x14ac:dyDescent="0.25">
      <c r="L1233" s="9" t="str">
        <f t="shared" si="38"/>
        <v>#N/A</v>
      </c>
      <c r="M1233" s="9">
        <f t="shared" si="39"/>
        <v>0</v>
      </c>
    </row>
    <row r="1234" spans="12:13" x14ac:dyDescent="0.25">
      <c r="L1234" s="9" t="str">
        <f t="shared" si="38"/>
        <v>#N/A</v>
      </c>
      <c r="M1234" s="9">
        <f t="shared" si="39"/>
        <v>0</v>
      </c>
    </row>
    <row r="1235" spans="12:13" x14ac:dyDescent="0.25">
      <c r="L1235" s="9" t="str">
        <f t="shared" si="38"/>
        <v>#N/A</v>
      </c>
      <c r="M1235" s="9">
        <f t="shared" si="39"/>
        <v>0</v>
      </c>
    </row>
    <row r="1236" spans="12:13" x14ac:dyDescent="0.25">
      <c r="L1236" s="9" t="str">
        <f t="shared" si="38"/>
        <v>#N/A</v>
      </c>
      <c r="M1236" s="9">
        <f t="shared" si="39"/>
        <v>0</v>
      </c>
    </row>
    <row r="1237" spans="12:13" x14ac:dyDescent="0.25">
      <c r="L1237" s="9" t="str">
        <f t="shared" si="38"/>
        <v>#N/A</v>
      </c>
      <c r="M1237" s="9">
        <f t="shared" si="39"/>
        <v>0</v>
      </c>
    </row>
    <row r="1238" spans="12:13" x14ac:dyDescent="0.25">
      <c r="L1238" s="9" t="str">
        <f t="shared" si="38"/>
        <v>#N/A</v>
      </c>
      <c r="M1238" s="9">
        <f t="shared" si="39"/>
        <v>0</v>
      </c>
    </row>
    <row r="1239" spans="12:13" x14ac:dyDescent="0.25">
      <c r="L1239" s="9" t="str">
        <f t="shared" si="38"/>
        <v>#N/A</v>
      </c>
      <c r="M1239" s="9">
        <f t="shared" si="39"/>
        <v>0</v>
      </c>
    </row>
    <row r="1240" spans="12:13" x14ac:dyDescent="0.25">
      <c r="L1240" s="9" t="str">
        <f t="shared" si="38"/>
        <v>#N/A</v>
      </c>
      <c r="M1240" s="9">
        <f t="shared" si="39"/>
        <v>0</v>
      </c>
    </row>
    <row r="1241" spans="12:13" x14ac:dyDescent="0.25">
      <c r="L1241" s="9" t="str">
        <f t="shared" si="38"/>
        <v>#N/A</v>
      </c>
      <c r="M1241" s="9">
        <f t="shared" si="39"/>
        <v>0</v>
      </c>
    </row>
    <row r="1242" spans="12:13" x14ac:dyDescent="0.25">
      <c r="L1242" s="9" t="str">
        <f t="shared" si="38"/>
        <v>#N/A</v>
      </c>
      <c r="M1242" s="9">
        <f t="shared" si="39"/>
        <v>0</v>
      </c>
    </row>
    <row r="1243" spans="12:13" x14ac:dyDescent="0.25">
      <c r="L1243" s="9" t="str">
        <f t="shared" si="38"/>
        <v>#N/A</v>
      </c>
      <c r="M1243" s="9">
        <f t="shared" si="39"/>
        <v>0</v>
      </c>
    </row>
    <row r="1244" spans="12:13" x14ac:dyDescent="0.25">
      <c r="L1244" s="9" t="str">
        <f t="shared" si="38"/>
        <v>#N/A</v>
      </c>
      <c r="M1244" s="9">
        <f t="shared" si="39"/>
        <v>0</v>
      </c>
    </row>
    <row r="1245" spans="12:13" x14ac:dyDescent="0.25">
      <c r="L1245" s="9" t="str">
        <f t="shared" si="38"/>
        <v>#N/A</v>
      </c>
      <c r="M1245" s="9">
        <f t="shared" si="39"/>
        <v>0</v>
      </c>
    </row>
    <row r="1246" spans="12:13" x14ac:dyDescent="0.25">
      <c r="L1246" s="9" t="str">
        <f t="shared" si="38"/>
        <v>#N/A</v>
      </c>
      <c r="M1246" s="9">
        <f t="shared" si="39"/>
        <v>0</v>
      </c>
    </row>
    <row r="1247" spans="12:13" x14ac:dyDescent="0.25">
      <c r="L1247" s="9" t="str">
        <f t="shared" si="38"/>
        <v>#N/A</v>
      </c>
      <c r="M1247" s="9">
        <f t="shared" si="39"/>
        <v>0</v>
      </c>
    </row>
    <row r="1248" spans="12:13" x14ac:dyDescent="0.25">
      <c r="L1248" s="9" t="str">
        <f t="shared" si="38"/>
        <v>#N/A</v>
      </c>
      <c r="M1248" s="9">
        <f t="shared" si="39"/>
        <v>0</v>
      </c>
    </row>
    <row r="1249" spans="12:13" x14ac:dyDescent="0.25">
      <c r="L1249" s="9" t="str">
        <f t="shared" si="38"/>
        <v>#N/A</v>
      </c>
      <c r="M1249" s="9">
        <f t="shared" si="39"/>
        <v>0</v>
      </c>
    </row>
    <row r="1250" spans="12:13" x14ac:dyDescent="0.25">
      <c r="L1250" s="9" t="str">
        <f t="shared" si="38"/>
        <v>#N/A</v>
      </c>
      <c r="M1250" s="9">
        <f t="shared" si="39"/>
        <v>0</v>
      </c>
    </row>
    <row r="1251" spans="12:13" x14ac:dyDescent="0.25">
      <c r="L1251" s="9" t="str">
        <f t="shared" si="38"/>
        <v>#N/A</v>
      </c>
      <c r="M1251" s="9">
        <f t="shared" si="39"/>
        <v>0</v>
      </c>
    </row>
    <row r="1252" spans="12:13" x14ac:dyDescent="0.25">
      <c r="L1252" s="9" t="str">
        <f t="shared" si="38"/>
        <v>#N/A</v>
      </c>
      <c r="M1252" s="9">
        <f t="shared" si="39"/>
        <v>0</v>
      </c>
    </row>
    <row r="1253" spans="12:13" x14ac:dyDescent="0.25">
      <c r="L1253" s="9" t="str">
        <f t="shared" si="38"/>
        <v>#N/A</v>
      </c>
      <c r="M1253" s="9">
        <f t="shared" si="39"/>
        <v>0</v>
      </c>
    </row>
    <row r="1254" spans="12:13" x14ac:dyDescent="0.25">
      <c r="L1254" s="9" t="str">
        <f t="shared" si="38"/>
        <v>#N/A</v>
      </c>
      <c r="M1254" s="9">
        <f t="shared" si="39"/>
        <v>0</v>
      </c>
    </row>
    <row r="1255" spans="12:13" x14ac:dyDescent="0.25">
      <c r="L1255" s="9" t="str">
        <f t="shared" si="38"/>
        <v>#N/A</v>
      </c>
      <c r="M1255" s="9">
        <f t="shared" si="39"/>
        <v>0</v>
      </c>
    </row>
    <row r="1256" spans="12:13" x14ac:dyDescent="0.25">
      <c r="L1256" s="9" t="str">
        <f t="shared" si="38"/>
        <v>#N/A</v>
      </c>
      <c r="M1256" s="9">
        <f t="shared" si="39"/>
        <v>0</v>
      </c>
    </row>
    <row r="1257" spans="12:13" x14ac:dyDescent="0.25">
      <c r="L1257" s="9" t="str">
        <f t="shared" si="38"/>
        <v>#N/A</v>
      </c>
      <c r="M1257" s="9">
        <f t="shared" si="39"/>
        <v>0</v>
      </c>
    </row>
    <row r="1258" spans="12:13" x14ac:dyDescent="0.25">
      <c r="L1258" s="9" t="str">
        <f t="shared" si="38"/>
        <v>#N/A</v>
      </c>
      <c r="M1258" s="9">
        <f t="shared" si="39"/>
        <v>0</v>
      </c>
    </row>
    <row r="1259" spans="12:13" x14ac:dyDescent="0.25">
      <c r="L1259" s="9" t="str">
        <f t="shared" si="38"/>
        <v>#N/A</v>
      </c>
      <c r="M1259" s="9">
        <f t="shared" si="39"/>
        <v>0</v>
      </c>
    </row>
    <row r="1260" spans="12:13" x14ac:dyDescent="0.25">
      <c r="L1260" s="9" t="str">
        <f t="shared" si="38"/>
        <v>#N/A</v>
      </c>
      <c r="M1260" s="9">
        <f t="shared" si="39"/>
        <v>0</v>
      </c>
    </row>
    <row r="1261" spans="12:13" x14ac:dyDescent="0.25">
      <c r="L1261" s="9" t="str">
        <f t="shared" si="38"/>
        <v>#N/A</v>
      </c>
      <c r="M1261" s="9">
        <f t="shared" si="39"/>
        <v>0</v>
      </c>
    </row>
    <row r="1262" spans="12:13" x14ac:dyDescent="0.25">
      <c r="L1262" s="9" t="str">
        <f t="shared" si="38"/>
        <v>#N/A</v>
      </c>
      <c r="M1262" s="9">
        <f t="shared" si="39"/>
        <v>0</v>
      </c>
    </row>
    <row r="1263" spans="12:13" x14ac:dyDescent="0.25">
      <c r="L1263" s="9" t="str">
        <f t="shared" si="38"/>
        <v>#N/A</v>
      </c>
      <c r="M1263" s="9">
        <f t="shared" si="39"/>
        <v>0</v>
      </c>
    </row>
    <row r="1264" spans="12:13" x14ac:dyDescent="0.25">
      <c r="L1264" s="9" t="str">
        <f t="shared" si="38"/>
        <v>#N/A</v>
      </c>
      <c r="M1264" s="9">
        <f t="shared" si="39"/>
        <v>0</v>
      </c>
    </row>
    <row r="1265" spans="12:13" x14ac:dyDescent="0.25">
      <c r="L1265" s="9" t="str">
        <f t="shared" si="38"/>
        <v>#N/A</v>
      </c>
      <c r="M1265" s="9">
        <f t="shared" si="39"/>
        <v>0</v>
      </c>
    </row>
    <row r="1266" spans="12:13" x14ac:dyDescent="0.25">
      <c r="L1266" s="9" t="str">
        <f t="shared" si="38"/>
        <v>#N/A</v>
      </c>
      <c r="M1266" s="9">
        <f t="shared" si="39"/>
        <v>0</v>
      </c>
    </row>
    <row r="1267" spans="12:13" x14ac:dyDescent="0.25">
      <c r="L1267" s="9" t="str">
        <f t="shared" si="38"/>
        <v>#N/A</v>
      </c>
      <c r="M1267" s="9">
        <f t="shared" si="39"/>
        <v>0</v>
      </c>
    </row>
    <row r="1268" spans="12:13" x14ac:dyDescent="0.25">
      <c r="L1268" s="9" t="str">
        <f t="shared" si="38"/>
        <v>#N/A</v>
      </c>
      <c r="M1268" s="9">
        <f t="shared" si="39"/>
        <v>0</v>
      </c>
    </row>
    <row r="1269" spans="12:13" x14ac:dyDescent="0.25">
      <c r="L1269" s="9" t="str">
        <f t="shared" si="38"/>
        <v>#N/A</v>
      </c>
      <c r="M1269" s="9">
        <f t="shared" si="39"/>
        <v>0</v>
      </c>
    </row>
    <row r="1270" spans="12:13" x14ac:dyDescent="0.25">
      <c r="L1270" s="9" t="str">
        <f t="shared" si="38"/>
        <v>#N/A</v>
      </c>
      <c r="M1270" s="9">
        <f t="shared" si="39"/>
        <v>0</v>
      </c>
    </row>
    <row r="1271" spans="12:13" x14ac:dyDescent="0.25">
      <c r="L1271" s="9" t="str">
        <f t="shared" si="38"/>
        <v>#N/A</v>
      </c>
      <c r="M1271" s="9">
        <f t="shared" si="39"/>
        <v>0</v>
      </c>
    </row>
    <row r="1272" spans="12:13" x14ac:dyDescent="0.25">
      <c r="L1272" s="9" t="str">
        <f t="shared" si="38"/>
        <v>#N/A</v>
      </c>
      <c r="M1272" s="9">
        <f t="shared" si="39"/>
        <v>0</v>
      </c>
    </row>
    <row r="1273" spans="12:13" x14ac:dyDescent="0.25">
      <c r="L1273" s="9" t="str">
        <f t="shared" si="38"/>
        <v>#N/A</v>
      </c>
      <c r="M1273" s="9">
        <f t="shared" si="39"/>
        <v>0</v>
      </c>
    </row>
    <row r="1274" spans="12:13" x14ac:dyDescent="0.25">
      <c r="L1274" s="9" t="str">
        <f t="shared" si="38"/>
        <v>#N/A</v>
      </c>
      <c r="M1274" s="9">
        <f t="shared" si="39"/>
        <v>0</v>
      </c>
    </row>
    <row r="1275" spans="12:13" x14ac:dyDescent="0.25">
      <c r="L1275" s="9" t="str">
        <f t="shared" si="38"/>
        <v>#N/A</v>
      </c>
      <c r="M1275" s="9">
        <f t="shared" si="39"/>
        <v>0</v>
      </c>
    </row>
    <row r="1276" spans="12:13" x14ac:dyDescent="0.25">
      <c r="L1276" s="9" t="str">
        <f t="shared" si="38"/>
        <v>#N/A</v>
      </c>
      <c r="M1276" s="9">
        <f t="shared" si="39"/>
        <v>0</v>
      </c>
    </row>
    <row r="1277" spans="12:13" x14ac:dyDescent="0.25">
      <c r="L1277" s="9" t="str">
        <f t="shared" si="38"/>
        <v>#N/A</v>
      </c>
      <c r="M1277" s="9">
        <f t="shared" si="39"/>
        <v>0</v>
      </c>
    </row>
    <row r="1278" spans="12:13" x14ac:dyDescent="0.25">
      <c r="L1278" s="9" t="str">
        <f t="shared" si="38"/>
        <v>#N/A</v>
      </c>
      <c r="M1278" s="9">
        <f t="shared" si="39"/>
        <v>0</v>
      </c>
    </row>
    <row r="1279" spans="12:13" x14ac:dyDescent="0.25">
      <c r="L1279" s="9" t="str">
        <f t="shared" si="38"/>
        <v>#N/A</v>
      </c>
      <c r="M1279" s="9">
        <f t="shared" si="39"/>
        <v>0</v>
      </c>
    </row>
    <row r="1280" spans="12:13" x14ac:dyDescent="0.25">
      <c r="L1280" s="9" t="str">
        <f t="shared" si="38"/>
        <v>#N/A</v>
      </c>
      <c r="M1280" s="9">
        <f t="shared" si="39"/>
        <v>0</v>
      </c>
    </row>
    <row r="1281" spans="12:13" x14ac:dyDescent="0.25">
      <c r="L1281" s="9" t="str">
        <f t="shared" si="38"/>
        <v>#N/A</v>
      </c>
      <c r="M1281" s="9">
        <f t="shared" si="39"/>
        <v>0</v>
      </c>
    </row>
    <row r="1282" spans="12:13" x14ac:dyDescent="0.25">
      <c r="L1282" s="9" t="str">
        <f t="shared" ref="L1282:L1345" si="40">IF((D1282^2+(B1282*$K$2)^2)&gt;0,1/(D1282^2+(B1282*$K$2)^2),"#N/A")</f>
        <v>#N/A</v>
      </c>
      <c r="M1282" s="9">
        <f t="shared" si="39"/>
        <v>0</v>
      </c>
    </row>
    <row r="1283" spans="12:13" x14ac:dyDescent="0.25">
      <c r="L1283" s="9" t="str">
        <f t="shared" si="40"/>
        <v>#N/A</v>
      </c>
      <c r="M1283" s="9">
        <f t="shared" ref="M1283:M1346" si="41">IF(B1283*$K$2&gt;D1283*10,1,0)</f>
        <v>0</v>
      </c>
    </row>
    <row r="1284" spans="12:13" x14ac:dyDescent="0.25">
      <c r="L1284" s="9" t="str">
        <f t="shared" si="40"/>
        <v>#N/A</v>
      </c>
      <c r="M1284" s="9">
        <f t="shared" si="41"/>
        <v>0</v>
      </c>
    </row>
    <row r="1285" spans="12:13" x14ac:dyDescent="0.25">
      <c r="L1285" s="9" t="str">
        <f t="shared" si="40"/>
        <v>#N/A</v>
      </c>
      <c r="M1285" s="9">
        <f t="shared" si="41"/>
        <v>0</v>
      </c>
    </row>
    <row r="1286" spans="12:13" x14ac:dyDescent="0.25">
      <c r="L1286" s="9" t="str">
        <f t="shared" si="40"/>
        <v>#N/A</v>
      </c>
      <c r="M1286" s="9">
        <f t="shared" si="41"/>
        <v>0</v>
      </c>
    </row>
    <row r="1287" spans="12:13" x14ac:dyDescent="0.25">
      <c r="L1287" s="9" t="str">
        <f t="shared" si="40"/>
        <v>#N/A</v>
      </c>
      <c r="M1287" s="9">
        <f t="shared" si="41"/>
        <v>0</v>
      </c>
    </row>
    <row r="1288" spans="12:13" x14ac:dyDescent="0.25">
      <c r="L1288" s="9" t="str">
        <f t="shared" si="40"/>
        <v>#N/A</v>
      </c>
      <c r="M1288" s="9">
        <f t="shared" si="41"/>
        <v>0</v>
      </c>
    </row>
    <row r="1289" spans="12:13" x14ac:dyDescent="0.25">
      <c r="L1289" s="9" t="str">
        <f t="shared" si="40"/>
        <v>#N/A</v>
      </c>
      <c r="M1289" s="9">
        <f t="shared" si="41"/>
        <v>0</v>
      </c>
    </row>
    <row r="1290" spans="12:13" x14ac:dyDescent="0.25">
      <c r="L1290" s="9" t="str">
        <f t="shared" si="40"/>
        <v>#N/A</v>
      </c>
      <c r="M1290" s="9">
        <f t="shared" si="41"/>
        <v>0</v>
      </c>
    </row>
    <row r="1291" spans="12:13" x14ac:dyDescent="0.25">
      <c r="L1291" s="9" t="str">
        <f t="shared" si="40"/>
        <v>#N/A</v>
      </c>
      <c r="M1291" s="9">
        <f t="shared" si="41"/>
        <v>0</v>
      </c>
    </row>
    <row r="1292" spans="12:13" x14ac:dyDescent="0.25">
      <c r="L1292" s="9" t="str">
        <f t="shared" si="40"/>
        <v>#N/A</v>
      </c>
      <c r="M1292" s="9">
        <f t="shared" si="41"/>
        <v>0</v>
      </c>
    </row>
    <row r="1293" spans="12:13" x14ac:dyDescent="0.25">
      <c r="L1293" s="9" t="str">
        <f t="shared" si="40"/>
        <v>#N/A</v>
      </c>
      <c r="M1293" s="9">
        <f t="shared" si="41"/>
        <v>0</v>
      </c>
    </row>
    <row r="1294" spans="12:13" x14ac:dyDescent="0.25">
      <c r="L1294" s="9" t="str">
        <f t="shared" si="40"/>
        <v>#N/A</v>
      </c>
      <c r="M1294" s="9">
        <f t="shared" si="41"/>
        <v>0</v>
      </c>
    </row>
    <row r="1295" spans="12:13" x14ac:dyDescent="0.25">
      <c r="L1295" s="9" t="str">
        <f t="shared" si="40"/>
        <v>#N/A</v>
      </c>
      <c r="M1295" s="9">
        <f t="shared" si="41"/>
        <v>0</v>
      </c>
    </row>
    <row r="1296" spans="12:13" x14ac:dyDescent="0.25">
      <c r="L1296" s="9" t="str">
        <f t="shared" si="40"/>
        <v>#N/A</v>
      </c>
      <c r="M1296" s="9">
        <f t="shared" si="41"/>
        <v>0</v>
      </c>
    </row>
    <row r="1297" spans="12:13" x14ac:dyDescent="0.25">
      <c r="L1297" s="9" t="str">
        <f t="shared" si="40"/>
        <v>#N/A</v>
      </c>
      <c r="M1297" s="9">
        <f t="shared" si="41"/>
        <v>0</v>
      </c>
    </row>
    <row r="1298" spans="12:13" x14ac:dyDescent="0.25">
      <c r="L1298" s="9" t="str">
        <f t="shared" si="40"/>
        <v>#N/A</v>
      </c>
      <c r="M1298" s="9">
        <f t="shared" si="41"/>
        <v>0</v>
      </c>
    </row>
    <row r="1299" spans="12:13" x14ac:dyDescent="0.25">
      <c r="L1299" s="9" t="str">
        <f t="shared" si="40"/>
        <v>#N/A</v>
      </c>
      <c r="M1299" s="9">
        <f t="shared" si="41"/>
        <v>0</v>
      </c>
    </row>
    <row r="1300" spans="12:13" x14ac:dyDescent="0.25">
      <c r="L1300" s="9" t="str">
        <f t="shared" si="40"/>
        <v>#N/A</v>
      </c>
      <c r="M1300" s="9">
        <f t="shared" si="41"/>
        <v>0</v>
      </c>
    </row>
    <row r="1301" spans="12:13" x14ac:dyDescent="0.25">
      <c r="L1301" s="9" t="str">
        <f t="shared" si="40"/>
        <v>#N/A</v>
      </c>
      <c r="M1301" s="9">
        <f t="shared" si="41"/>
        <v>0</v>
      </c>
    </row>
    <row r="1302" spans="12:13" x14ac:dyDescent="0.25">
      <c r="L1302" s="9" t="str">
        <f t="shared" si="40"/>
        <v>#N/A</v>
      </c>
      <c r="M1302" s="9">
        <f t="shared" si="41"/>
        <v>0</v>
      </c>
    </row>
    <row r="1303" spans="12:13" x14ac:dyDescent="0.25">
      <c r="L1303" s="9" t="str">
        <f t="shared" si="40"/>
        <v>#N/A</v>
      </c>
      <c r="M1303" s="9">
        <f t="shared" si="41"/>
        <v>0</v>
      </c>
    </row>
    <row r="1304" spans="12:13" x14ac:dyDescent="0.25">
      <c r="L1304" s="9" t="str">
        <f t="shared" si="40"/>
        <v>#N/A</v>
      </c>
      <c r="M1304" s="9">
        <f t="shared" si="41"/>
        <v>0</v>
      </c>
    </row>
    <row r="1305" spans="12:13" x14ac:dyDescent="0.25">
      <c r="L1305" s="9" t="str">
        <f t="shared" si="40"/>
        <v>#N/A</v>
      </c>
      <c r="M1305" s="9">
        <f t="shared" si="41"/>
        <v>0</v>
      </c>
    </row>
    <row r="1306" spans="12:13" x14ac:dyDescent="0.25">
      <c r="L1306" s="9" t="str">
        <f t="shared" si="40"/>
        <v>#N/A</v>
      </c>
      <c r="M1306" s="9">
        <f t="shared" si="41"/>
        <v>0</v>
      </c>
    </row>
    <row r="1307" spans="12:13" x14ac:dyDescent="0.25">
      <c r="L1307" s="9" t="str">
        <f t="shared" si="40"/>
        <v>#N/A</v>
      </c>
      <c r="M1307" s="9">
        <f t="shared" si="41"/>
        <v>0</v>
      </c>
    </row>
    <row r="1308" spans="12:13" x14ac:dyDescent="0.25">
      <c r="L1308" s="9" t="str">
        <f t="shared" si="40"/>
        <v>#N/A</v>
      </c>
      <c r="M1308" s="9">
        <f t="shared" si="41"/>
        <v>0</v>
      </c>
    </row>
    <row r="1309" spans="12:13" x14ac:dyDescent="0.25">
      <c r="L1309" s="9" t="str">
        <f t="shared" si="40"/>
        <v>#N/A</v>
      </c>
      <c r="M1309" s="9">
        <f t="shared" si="41"/>
        <v>0</v>
      </c>
    </row>
    <row r="1310" spans="12:13" x14ac:dyDescent="0.25">
      <c r="L1310" s="9" t="str">
        <f t="shared" si="40"/>
        <v>#N/A</v>
      </c>
      <c r="M1310" s="9">
        <f t="shared" si="41"/>
        <v>0</v>
      </c>
    </row>
    <row r="1311" spans="12:13" x14ac:dyDescent="0.25">
      <c r="L1311" s="9" t="str">
        <f t="shared" si="40"/>
        <v>#N/A</v>
      </c>
      <c r="M1311" s="9">
        <f t="shared" si="41"/>
        <v>0</v>
      </c>
    </row>
    <row r="1312" spans="12:13" x14ac:dyDescent="0.25">
      <c r="L1312" s="9" t="str">
        <f t="shared" si="40"/>
        <v>#N/A</v>
      </c>
      <c r="M1312" s="9">
        <f t="shared" si="41"/>
        <v>0</v>
      </c>
    </row>
    <row r="1313" spans="12:13" x14ac:dyDescent="0.25">
      <c r="L1313" s="9" t="str">
        <f t="shared" si="40"/>
        <v>#N/A</v>
      </c>
      <c r="M1313" s="9">
        <f t="shared" si="41"/>
        <v>0</v>
      </c>
    </row>
    <row r="1314" spans="12:13" x14ac:dyDescent="0.25">
      <c r="L1314" s="9" t="str">
        <f t="shared" si="40"/>
        <v>#N/A</v>
      </c>
      <c r="M1314" s="9">
        <f t="shared" si="41"/>
        <v>0</v>
      </c>
    </row>
    <row r="1315" spans="12:13" x14ac:dyDescent="0.25">
      <c r="L1315" s="9" t="str">
        <f t="shared" si="40"/>
        <v>#N/A</v>
      </c>
      <c r="M1315" s="9">
        <f t="shared" si="41"/>
        <v>0</v>
      </c>
    </row>
    <row r="1316" spans="12:13" x14ac:dyDescent="0.25">
      <c r="L1316" s="9" t="str">
        <f t="shared" si="40"/>
        <v>#N/A</v>
      </c>
      <c r="M1316" s="9">
        <f t="shared" si="41"/>
        <v>0</v>
      </c>
    </row>
    <row r="1317" spans="12:13" x14ac:dyDescent="0.25">
      <c r="L1317" s="9" t="str">
        <f t="shared" si="40"/>
        <v>#N/A</v>
      </c>
      <c r="M1317" s="9">
        <f t="shared" si="41"/>
        <v>0</v>
      </c>
    </row>
    <row r="1318" spans="12:13" x14ac:dyDescent="0.25">
      <c r="L1318" s="9" t="str">
        <f t="shared" si="40"/>
        <v>#N/A</v>
      </c>
      <c r="M1318" s="9">
        <f t="shared" si="41"/>
        <v>0</v>
      </c>
    </row>
    <row r="1319" spans="12:13" x14ac:dyDescent="0.25">
      <c r="L1319" s="9" t="str">
        <f t="shared" si="40"/>
        <v>#N/A</v>
      </c>
      <c r="M1319" s="9">
        <f t="shared" si="41"/>
        <v>0</v>
      </c>
    </row>
    <row r="1320" spans="12:13" x14ac:dyDescent="0.25">
      <c r="L1320" s="9" t="str">
        <f t="shared" si="40"/>
        <v>#N/A</v>
      </c>
      <c r="M1320" s="9">
        <f t="shared" si="41"/>
        <v>0</v>
      </c>
    </row>
    <row r="1321" spans="12:13" x14ac:dyDescent="0.25">
      <c r="L1321" s="9" t="str">
        <f t="shared" si="40"/>
        <v>#N/A</v>
      </c>
      <c r="M1321" s="9">
        <f t="shared" si="41"/>
        <v>0</v>
      </c>
    </row>
    <row r="1322" spans="12:13" x14ac:dyDescent="0.25">
      <c r="L1322" s="9" t="str">
        <f t="shared" si="40"/>
        <v>#N/A</v>
      </c>
      <c r="M1322" s="9">
        <f t="shared" si="41"/>
        <v>0</v>
      </c>
    </row>
    <row r="1323" spans="12:13" x14ac:dyDescent="0.25">
      <c r="L1323" s="9" t="str">
        <f t="shared" si="40"/>
        <v>#N/A</v>
      </c>
      <c r="M1323" s="9">
        <f t="shared" si="41"/>
        <v>0</v>
      </c>
    </row>
    <row r="1324" spans="12:13" x14ac:dyDescent="0.25">
      <c r="L1324" s="9" t="str">
        <f t="shared" si="40"/>
        <v>#N/A</v>
      </c>
      <c r="M1324" s="9">
        <f t="shared" si="41"/>
        <v>0</v>
      </c>
    </row>
    <row r="1325" spans="12:13" x14ac:dyDescent="0.25">
      <c r="L1325" s="9" t="str">
        <f t="shared" si="40"/>
        <v>#N/A</v>
      </c>
      <c r="M1325" s="9">
        <f t="shared" si="41"/>
        <v>0</v>
      </c>
    </row>
    <row r="1326" spans="12:13" x14ac:dyDescent="0.25">
      <c r="L1326" s="9" t="str">
        <f t="shared" si="40"/>
        <v>#N/A</v>
      </c>
      <c r="M1326" s="9">
        <f t="shared" si="41"/>
        <v>0</v>
      </c>
    </row>
    <row r="1327" spans="12:13" x14ac:dyDescent="0.25">
      <c r="L1327" s="9" t="str">
        <f t="shared" si="40"/>
        <v>#N/A</v>
      </c>
      <c r="M1327" s="9">
        <f t="shared" si="41"/>
        <v>0</v>
      </c>
    </row>
    <row r="1328" spans="12:13" x14ac:dyDescent="0.25">
      <c r="L1328" s="9" t="str">
        <f t="shared" si="40"/>
        <v>#N/A</v>
      </c>
      <c r="M1328" s="9">
        <f t="shared" si="41"/>
        <v>0</v>
      </c>
    </row>
    <row r="1329" spans="12:13" x14ac:dyDescent="0.25">
      <c r="L1329" s="9" t="str">
        <f t="shared" si="40"/>
        <v>#N/A</v>
      </c>
      <c r="M1329" s="9">
        <f t="shared" si="41"/>
        <v>0</v>
      </c>
    </row>
    <row r="1330" spans="12:13" x14ac:dyDescent="0.25">
      <c r="L1330" s="9" t="str">
        <f t="shared" si="40"/>
        <v>#N/A</v>
      </c>
      <c r="M1330" s="9">
        <f t="shared" si="41"/>
        <v>0</v>
      </c>
    </row>
    <row r="1331" spans="12:13" x14ac:dyDescent="0.25">
      <c r="L1331" s="9" t="str">
        <f t="shared" si="40"/>
        <v>#N/A</v>
      </c>
      <c r="M1331" s="9">
        <f t="shared" si="41"/>
        <v>0</v>
      </c>
    </row>
    <row r="1332" spans="12:13" x14ac:dyDescent="0.25">
      <c r="L1332" s="9" t="str">
        <f t="shared" si="40"/>
        <v>#N/A</v>
      </c>
      <c r="M1332" s="9">
        <f t="shared" si="41"/>
        <v>0</v>
      </c>
    </row>
    <row r="1333" spans="12:13" x14ac:dyDescent="0.25">
      <c r="L1333" s="9" t="str">
        <f t="shared" si="40"/>
        <v>#N/A</v>
      </c>
      <c r="M1333" s="9">
        <f t="shared" si="41"/>
        <v>0</v>
      </c>
    </row>
    <row r="1334" spans="12:13" x14ac:dyDescent="0.25">
      <c r="L1334" s="9" t="str">
        <f t="shared" si="40"/>
        <v>#N/A</v>
      </c>
      <c r="M1334" s="9">
        <f t="shared" si="41"/>
        <v>0</v>
      </c>
    </row>
    <row r="1335" spans="12:13" x14ac:dyDescent="0.25">
      <c r="L1335" s="9" t="str">
        <f t="shared" si="40"/>
        <v>#N/A</v>
      </c>
      <c r="M1335" s="9">
        <f t="shared" si="41"/>
        <v>0</v>
      </c>
    </row>
    <row r="1336" spans="12:13" x14ac:dyDescent="0.25">
      <c r="L1336" s="9" t="str">
        <f t="shared" si="40"/>
        <v>#N/A</v>
      </c>
      <c r="M1336" s="9">
        <f t="shared" si="41"/>
        <v>0</v>
      </c>
    </row>
    <row r="1337" spans="12:13" x14ac:dyDescent="0.25">
      <c r="L1337" s="9" t="str">
        <f t="shared" si="40"/>
        <v>#N/A</v>
      </c>
      <c r="M1337" s="9">
        <f t="shared" si="41"/>
        <v>0</v>
      </c>
    </row>
    <row r="1338" spans="12:13" x14ac:dyDescent="0.25">
      <c r="L1338" s="9" t="str">
        <f t="shared" si="40"/>
        <v>#N/A</v>
      </c>
      <c r="M1338" s="9">
        <f t="shared" si="41"/>
        <v>0</v>
      </c>
    </row>
    <row r="1339" spans="12:13" x14ac:dyDescent="0.25">
      <c r="L1339" s="9" t="str">
        <f t="shared" si="40"/>
        <v>#N/A</v>
      </c>
      <c r="M1339" s="9">
        <f t="shared" si="41"/>
        <v>0</v>
      </c>
    </row>
    <row r="1340" spans="12:13" x14ac:dyDescent="0.25">
      <c r="L1340" s="9" t="str">
        <f t="shared" si="40"/>
        <v>#N/A</v>
      </c>
      <c r="M1340" s="9">
        <f t="shared" si="41"/>
        <v>0</v>
      </c>
    </row>
    <row r="1341" spans="12:13" x14ac:dyDescent="0.25">
      <c r="L1341" s="9" t="str">
        <f t="shared" si="40"/>
        <v>#N/A</v>
      </c>
      <c r="M1341" s="9">
        <f t="shared" si="41"/>
        <v>0</v>
      </c>
    </row>
    <row r="1342" spans="12:13" x14ac:dyDescent="0.25">
      <c r="L1342" s="9" t="str">
        <f t="shared" si="40"/>
        <v>#N/A</v>
      </c>
      <c r="M1342" s="9">
        <f t="shared" si="41"/>
        <v>0</v>
      </c>
    </row>
    <row r="1343" spans="12:13" x14ac:dyDescent="0.25">
      <c r="L1343" s="9" t="str">
        <f t="shared" si="40"/>
        <v>#N/A</v>
      </c>
      <c r="M1343" s="9">
        <f t="shared" si="41"/>
        <v>0</v>
      </c>
    </row>
    <row r="1344" spans="12:13" x14ac:dyDescent="0.25">
      <c r="L1344" s="9" t="str">
        <f t="shared" si="40"/>
        <v>#N/A</v>
      </c>
      <c r="M1344" s="9">
        <f t="shared" si="41"/>
        <v>0</v>
      </c>
    </row>
    <row r="1345" spans="12:13" x14ac:dyDescent="0.25">
      <c r="L1345" s="9" t="str">
        <f t="shared" si="40"/>
        <v>#N/A</v>
      </c>
      <c r="M1345" s="9">
        <f t="shared" si="41"/>
        <v>0</v>
      </c>
    </row>
    <row r="1346" spans="12:13" x14ac:dyDescent="0.25">
      <c r="L1346" s="9" t="str">
        <f t="shared" ref="L1346:L1409" si="42">IF((D1346^2+(B1346*$K$2)^2)&gt;0,1/(D1346^2+(B1346*$K$2)^2),"#N/A")</f>
        <v>#N/A</v>
      </c>
      <c r="M1346" s="9">
        <f t="shared" si="41"/>
        <v>0</v>
      </c>
    </row>
    <row r="1347" spans="12:13" x14ac:dyDescent="0.25">
      <c r="L1347" s="9" t="str">
        <f t="shared" si="42"/>
        <v>#N/A</v>
      </c>
      <c r="M1347" s="9">
        <f t="shared" ref="M1347:M1410" si="43">IF(B1347*$K$2&gt;D1347*10,1,0)</f>
        <v>0</v>
      </c>
    </row>
    <row r="1348" spans="12:13" x14ac:dyDescent="0.25">
      <c r="L1348" s="9" t="str">
        <f t="shared" si="42"/>
        <v>#N/A</v>
      </c>
      <c r="M1348" s="9">
        <f t="shared" si="43"/>
        <v>0</v>
      </c>
    </row>
    <row r="1349" spans="12:13" x14ac:dyDescent="0.25">
      <c r="L1349" s="9" t="str">
        <f t="shared" si="42"/>
        <v>#N/A</v>
      </c>
      <c r="M1349" s="9">
        <f t="shared" si="43"/>
        <v>0</v>
      </c>
    </row>
    <row r="1350" spans="12:13" x14ac:dyDescent="0.25">
      <c r="L1350" s="9" t="str">
        <f t="shared" si="42"/>
        <v>#N/A</v>
      </c>
      <c r="M1350" s="9">
        <f t="shared" si="43"/>
        <v>0</v>
      </c>
    </row>
    <row r="1351" spans="12:13" x14ac:dyDescent="0.25">
      <c r="L1351" s="9" t="str">
        <f t="shared" si="42"/>
        <v>#N/A</v>
      </c>
      <c r="M1351" s="9">
        <f t="shared" si="43"/>
        <v>0</v>
      </c>
    </row>
    <row r="1352" spans="12:13" x14ac:dyDescent="0.25">
      <c r="L1352" s="9" t="str">
        <f t="shared" si="42"/>
        <v>#N/A</v>
      </c>
      <c r="M1352" s="9">
        <f t="shared" si="43"/>
        <v>0</v>
      </c>
    </row>
    <row r="1353" spans="12:13" x14ac:dyDescent="0.25">
      <c r="L1353" s="9" t="str">
        <f t="shared" si="42"/>
        <v>#N/A</v>
      </c>
      <c r="M1353" s="9">
        <f t="shared" si="43"/>
        <v>0</v>
      </c>
    </row>
    <row r="1354" spans="12:13" x14ac:dyDescent="0.25">
      <c r="L1354" s="9" t="str">
        <f t="shared" si="42"/>
        <v>#N/A</v>
      </c>
      <c r="M1354" s="9">
        <f t="shared" si="43"/>
        <v>0</v>
      </c>
    </row>
    <row r="1355" spans="12:13" x14ac:dyDescent="0.25">
      <c r="L1355" s="9" t="str">
        <f t="shared" si="42"/>
        <v>#N/A</v>
      </c>
      <c r="M1355" s="9">
        <f t="shared" si="43"/>
        <v>0</v>
      </c>
    </row>
    <row r="1356" spans="12:13" x14ac:dyDescent="0.25">
      <c r="L1356" s="9" t="str">
        <f t="shared" si="42"/>
        <v>#N/A</v>
      </c>
      <c r="M1356" s="9">
        <f t="shared" si="43"/>
        <v>0</v>
      </c>
    </row>
    <row r="1357" spans="12:13" x14ac:dyDescent="0.25">
      <c r="L1357" s="9" t="str">
        <f t="shared" si="42"/>
        <v>#N/A</v>
      </c>
      <c r="M1357" s="9">
        <f t="shared" si="43"/>
        <v>0</v>
      </c>
    </row>
    <row r="1358" spans="12:13" x14ac:dyDescent="0.25">
      <c r="L1358" s="9" t="str">
        <f t="shared" si="42"/>
        <v>#N/A</v>
      </c>
      <c r="M1358" s="9">
        <f t="shared" si="43"/>
        <v>0</v>
      </c>
    </row>
    <row r="1359" spans="12:13" x14ac:dyDescent="0.25">
      <c r="L1359" s="9" t="str">
        <f t="shared" si="42"/>
        <v>#N/A</v>
      </c>
      <c r="M1359" s="9">
        <f t="shared" si="43"/>
        <v>0</v>
      </c>
    </row>
    <row r="1360" spans="12:13" x14ac:dyDescent="0.25">
      <c r="L1360" s="9" t="str">
        <f t="shared" si="42"/>
        <v>#N/A</v>
      </c>
      <c r="M1360" s="9">
        <f t="shared" si="43"/>
        <v>0</v>
      </c>
    </row>
    <row r="1361" spans="12:13" x14ac:dyDescent="0.25">
      <c r="L1361" s="9" t="str">
        <f t="shared" si="42"/>
        <v>#N/A</v>
      </c>
      <c r="M1361" s="9">
        <f t="shared" si="43"/>
        <v>0</v>
      </c>
    </row>
    <row r="1362" spans="12:13" x14ac:dyDescent="0.25">
      <c r="L1362" s="9" t="str">
        <f t="shared" si="42"/>
        <v>#N/A</v>
      </c>
      <c r="M1362" s="9">
        <f t="shared" si="43"/>
        <v>0</v>
      </c>
    </row>
    <row r="1363" spans="12:13" x14ac:dyDescent="0.25">
      <c r="L1363" s="9" t="str">
        <f t="shared" si="42"/>
        <v>#N/A</v>
      </c>
      <c r="M1363" s="9">
        <f t="shared" si="43"/>
        <v>0</v>
      </c>
    </row>
    <row r="1364" spans="12:13" x14ac:dyDescent="0.25">
      <c r="L1364" s="9" t="str">
        <f t="shared" si="42"/>
        <v>#N/A</v>
      </c>
      <c r="M1364" s="9">
        <f t="shared" si="43"/>
        <v>0</v>
      </c>
    </row>
    <row r="1365" spans="12:13" x14ac:dyDescent="0.25">
      <c r="L1365" s="9" t="str">
        <f t="shared" si="42"/>
        <v>#N/A</v>
      </c>
      <c r="M1365" s="9">
        <f t="shared" si="43"/>
        <v>0</v>
      </c>
    </row>
    <row r="1366" spans="12:13" x14ac:dyDescent="0.25">
      <c r="L1366" s="9" t="str">
        <f t="shared" si="42"/>
        <v>#N/A</v>
      </c>
      <c r="M1366" s="9">
        <f t="shared" si="43"/>
        <v>0</v>
      </c>
    </row>
    <row r="1367" spans="12:13" x14ac:dyDescent="0.25">
      <c r="L1367" s="9" t="str">
        <f t="shared" si="42"/>
        <v>#N/A</v>
      </c>
      <c r="M1367" s="9">
        <f t="shared" si="43"/>
        <v>0</v>
      </c>
    </row>
    <row r="1368" spans="12:13" x14ac:dyDescent="0.25">
      <c r="L1368" s="9" t="str">
        <f t="shared" si="42"/>
        <v>#N/A</v>
      </c>
      <c r="M1368" s="9">
        <f t="shared" si="43"/>
        <v>0</v>
      </c>
    </row>
    <row r="1369" spans="12:13" x14ac:dyDescent="0.25">
      <c r="L1369" s="9" t="str">
        <f t="shared" si="42"/>
        <v>#N/A</v>
      </c>
      <c r="M1369" s="9">
        <f t="shared" si="43"/>
        <v>0</v>
      </c>
    </row>
    <row r="1370" spans="12:13" x14ac:dyDescent="0.25">
      <c r="L1370" s="9" t="str">
        <f t="shared" si="42"/>
        <v>#N/A</v>
      </c>
      <c r="M1370" s="9">
        <f t="shared" si="43"/>
        <v>0</v>
      </c>
    </row>
    <row r="1371" spans="12:13" x14ac:dyDescent="0.25">
      <c r="L1371" s="9" t="str">
        <f t="shared" si="42"/>
        <v>#N/A</v>
      </c>
      <c r="M1371" s="9">
        <f t="shared" si="43"/>
        <v>0</v>
      </c>
    </row>
    <row r="1372" spans="12:13" x14ac:dyDescent="0.25">
      <c r="L1372" s="9" t="str">
        <f t="shared" si="42"/>
        <v>#N/A</v>
      </c>
      <c r="M1372" s="9">
        <f t="shared" si="43"/>
        <v>0</v>
      </c>
    </row>
    <row r="1373" spans="12:13" x14ac:dyDescent="0.25">
      <c r="L1373" s="9" t="str">
        <f t="shared" si="42"/>
        <v>#N/A</v>
      </c>
      <c r="M1373" s="9">
        <f t="shared" si="43"/>
        <v>0</v>
      </c>
    </row>
    <row r="1374" spans="12:13" x14ac:dyDescent="0.25">
      <c r="L1374" s="9" t="str">
        <f t="shared" si="42"/>
        <v>#N/A</v>
      </c>
      <c r="M1374" s="9">
        <f t="shared" si="43"/>
        <v>0</v>
      </c>
    </row>
    <row r="1375" spans="12:13" x14ac:dyDescent="0.25">
      <c r="L1375" s="9" t="str">
        <f t="shared" si="42"/>
        <v>#N/A</v>
      </c>
      <c r="M1375" s="9">
        <f t="shared" si="43"/>
        <v>0</v>
      </c>
    </row>
    <row r="1376" spans="12:13" x14ac:dyDescent="0.25">
      <c r="L1376" s="9" t="str">
        <f t="shared" si="42"/>
        <v>#N/A</v>
      </c>
      <c r="M1376" s="9">
        <f t="shared" si="43"/>
        <v>0</v>
      </c>
    </row>
    <row r="1377" spans="12:13" x14ac:dyDescent="0.25">
      <c r="L1377" s="9" t="str">
        <f t="shared" si="42"/>
        <v>#N/A</v>
      </c>
      <c r="M1377" s="9">
        <f t="shared" si="43"/>
        <v>0</v>
      </c>
    </row>
    <row r="1378" spans="12:13" x14ac:dyDescent="0.25">
      <c r="L1378" s="9" t="str">
        <f t="shared" si="42"/>
        <v>#N/A</v>
      </c>
      <c r="M1378" s="9">
        <f t="shared" si="43"/>
        <v>0</v>
      </c>
    </row>
    <row r="1379" spans="12:13" x14ac:dyDescent="0.25">
      <c r="L1379" s="9" t="str">
        <f t="shared" si="42"/>
        <v>#N/A</v>
      </c>
      <c r="M1379" s="9">
        <f t="shared" si="43"/>
        <v>0</v>
      </c>
    </row>
    <row r="1380" spans="12:13" x14ac:dyDescent="0.25">
      <c r="L1380" s="9" t="str">
        <f t="shared" si="42"/>
        <v>#N/A</v>
      </c>
      <c r="M1380" s="9">
        <f t="shared" si="43"/>
        <v>0</v>
      </c>
    </row>
    <row r="1381" spans="12:13" x14ac:dyDescent="0.25">
      <c r="L1381" s="9" t="str">
        <f t="shared" si="42"/>
        <v>#N/A</v>
      </c>
      <c r="M1381" s="9">
        <f t="shared" si="43"/>
        <v>0</v>
      </c>
    </row>
    <row r="1382" spans="12:13" x14ac:dyDescent="0.25">
      <c r="L1382" s="9" t="str">
        <f t="shared" si="42"/>
        <v>#N/A</v>
      </c>
      <c r="M1382" s="9">
        <f t="shared" si="43"/>
        <v>0</v>
      </c>
    </row>
    <row r="1383" spans="12:13" x14ac:dyDescent="0.25">
      <c r="L1383" s="9" t="str">
        <f t="shared" si="42"/>
        <v>#N/A</v>
      </c>
      <c r="M1383" s="9">
        <f t="shared" si="43"/>
        <v>0</v>
      </c>
    </row>
    <row r="1384" spans="12:13" x14ac:dyDescent="0.25">
      <c r="L1384" s="9" t="str">
        <f t="shared" si="42"/>
        <v>#N/A</v>
      </c>
      <c r="M1384" s="9">
        <f t="shared" si="43"/>
        <v>0</v>
      </c>
    </row>
    <row r="1385" spans="12:13" x14ac:dyDescent="0.25">
      <c r="L1385" s="9" t="str">
        <f t="shared" si="42"/>
        <v>#N/A</v>
      </c>
      <c r="M1385" s="9">
        <f t="shared" si="43"/>
        <v>0</v>
      </c>
    </row>
    <row r="1386" spans="12:13" x14ac:dyDescent="0.25">
      <c r="L1386" s="9" t="str">
        <f t="shared" si="42"/>
        <v>#N/A</v>
      </c>
      <c r="M1386" s="9">
        <f t="shared" si="43"/>
        <v>0</v>
      </c>
    </row>
    <row r="1387" spans="12:13" x14ac:dyDescent="0.25">
      <c r="L1387" s="9" t="str">
        <f t="shared" si="42"/>
        <v>#N/A</v>
      </c>
      <c r="M1387" s="9">
        <f t="shared" si="43"/>
        <v>0</v>
      </c>
    </row>
    <row r="1388" spans="12:13" x14ac:dyDescent="0.25">
      <c r="L1388" s="9" t="str">
        <f t="shared" si="42"/>
        <v>#N/A</v>
      </c>
      <c r="M1388" s="9">
        <f t="shared" si="43"/>
        <v>0</v>
      </c>
    </row>
    <row r="1389" spans="12:13" x14ac:dyDescent="0.25">
      <c r="L1389" s="9" t="str">
        <f t="shared" si="42"/>
        <v>#N/A</v>
      </c>
      <c r="M1389" s="9">
        <f t="shared" si="43"/>
        <v>0</v>
      </c>
    </row>
    <row r="1390" spans="12:13" x14ac:dyDescent="0.25">
      <c r="L1390" s="9" t="str">
        <f t="shared" si="42"/>
        <v>#N/A</v>
      </c>
      <c r="M1390" s="9">
        <f t="shared" si="43"/>
        <v>0</v>
      </c>
    </row>
    <row r="1391" spans="12:13" x14ac:dyDescent="0.25">
      <c r="L1391" s="9" t="str">
        <f t="shared" si="42"/>
        <v>#N/A</v>
      </c>
      <c r="M1391" s="9">
        <f t="shared" si="43"/>
        <v>0</v>
      </c>
    </row>
    <row r="1392" spans="12:13" x14ac:dyDescent="0.25">
      <c r="L1392" s="9" t="str">
        <f t="shared" si="42"/>
        <v>#N/A</v>
      </c>
      <c r="M1392" s="9">
        <f t="shared" si="43"/>
        <v>0</v>
      </c>
    </row>
    <row r="1393" spans="12:13" x14ac:dyDescent="0.25">
      <c r="L1393" s="9" t="str">
        <f t="shared" si="42"/>
        <v>#N/A</v>
      </c>
      <c r="M1393" s="9">
        <f t="shared" si="43"/>
        <v>0</v>
      </c>
    </row>
    <row r="1394" spans="12:13" x14ac:dyDescent="0.25">
      <c r="L1394" s="9" t="str">
        <f t="shared" si="42"/>
        <v>#N/A</v>
      </c>
      <c r="M1394" s="9">
        <f t="shared" si="43"/>
        <v>0</v>
      </c>
    </row>
    <row r="1395" spans="12:13" x14ac:dyDescent="0.25">
      <c r="L1395" s="9" t="str">
        <f t="shared" si="42"/>
        <v>#N/A</v>
      </c>
      <c r="M1395" s="9">
        <f t="shared" si="43"/>
        <v>0</v>
      </c>
    </row>
    <row r="1396" spans="12:13" x14ac:dyDescent="0.25">
      <c r="L1396" s="9" t="str">
        <f t="shared" si="42"/>
        <v>#N/A</v>
      </c>
      <c r="M1396" s="9">
        <f t="shared" si="43"/>
        <v>0</v>
      </c>
    </row>
    <row r="1397" spans="12:13" x14ac:dyDescent="0.25">
      <c r="L1397" s="9" t="str">
        <f t="shared" si="42"/>
        <v>#N/A</v>
      </c>
      <c r="M1397" s="9">
        <f t="shared" si="43"/>
        <v>0</v>
      </c>
    </row>
    <row r="1398" spans="12:13" x14ac:dyDescent="0.25">
      <c r="L1398" s="9" t="str">
        <f t="shared" si="42"/>
        <v>#N/A</v>
      </c>
      <c r="M1398" s="9">
        <f t="shared" si="43"/>
        <v>0</v>
      </c>
    </row>
    <row r="1399" spans="12:13" x14ac:dyDescent="0.25">
      <c r="L1399" s="9" t="str">
        <f t="shared" si="42"/>
        <v>#N/A</v>
      </c>
      <c r="M1399" s="9">
        <f t="shared" si="43"/>
        <v>0</v>
      </c>
    </row>
    <row r="1400" spans="12:13" x14ac:dyDescent="0.25">
      <c r="L1400" s="9" t="str">
        <f t="shared" si="42"/>
        <v>#N/A</v>
      </c>
      <c r="M1400" s="9">
        <f t="shared" si="43"/>
        <v>0</v>
      </c>
    </row>
    <row r="1401" spans="12:13" x14ac:dyDescent="0.25">
      <c r="L1401" s="9" t="str">
        <f t="shared" si="42"/>
        <v>#N/A</v>
      </c>
      <c r="M1401" s="9">
        <f t="shared" si="43"/>
        <v>0</v>
      </c>
    </row>
    <row r="1402" spans="12:13" x14ac:dyDescent="0.25">
      <c r="L1402" s="9" t="str">
        <f t="shared" si="42"/>
        <v>#N/A</v>
      </c>
      <c r="M1402" s="9">
        <f t="shared" si="43"/>
        <v>0</v>
      </c>
    </row>
    <row r="1403" spans="12:13" x14ac:dyDescent="0.25">
      <c r="L1403" s="9" t="str">
        <f t="shared" si="42"/>
        <v>#N/A</v>
      </c>
      <c r="M1403" s="9">
        <f t="shared" si="43"/>
        <v>0</v>
      </c>
    </row>
    <row r="1404" spans="12:13" x14ac:dyDescent="0.25">
      <c r="L1404" s="9" t="str">
        <f t="shared" si="42"/>
        <v>#N/A</v>
      </c>
      <c r="M1404" s="9">
        <f t="shared" si="43"/>
        <v>0</v>
      </c>
    </row>
    <row r="1405" spans="12:13" x14ac:dyDescent="0.25">
      <c r="L1405" s="9" t="str">
        <f t="shared" si="42"/>
        <v>#N/A</v>
      </c>
      <c r="M1405" s="9">
        <f t="shared" si="43"/>
        <v>0</v>
      </c>
    </row>
    <row r="1406" spans="12:13" x14ac:dyDescent="0.25">
      <c r="L1406" s="9" t="str">
        <f t="shared" si="42"/>
        <v>#N/A</v>
      </c>
      <c r="M1406" s="9">
        <f t="shared" si="43"/>
        <v>0</v>
      </c>
    </row>
    <row r="1407" spans="12:13" x14ac:dyDescent="0.25">
      <c r="L1407" s="9" t="str">
        <f t="shared" si="42"/>
        <v>#N/A</v>
      </c>
      <c r="M1407" s="9">
        <f t="shared" si="43"/>
        <v>0</v>
      </c>
    </row>
    <row r="1408" spans="12:13" x14ac:dyDescent="0.25">
      <c r="L1408" s="9" t="str">
        <f t="shared" si="42"/>
        <v>#N/A</v>
      </c>
      <c r="M1408" s="9">
        <f t="shared" si="43"/>
        <v>0</v>
      </c>
    </row>
    <row r="1409" spans="12:13" x14ac:dyDescent="0.25">
      <c r="L1409" s="9" t="str">
        <f t="shared" si="42"/>
        <v>#N/A</v>
      </c>
      <c r="M1409" s="9">
        <f t="shared" si="43"/>
        <v>0</v>
      </c>
    </row>
    <row r="1410" spans="12:13" x14ac:dyDescent="0.25">
      <c r="L1410" s="9" t="str">
        <f t="shared" ref="L1410:L1473" si="44">IF((D1410^2+(B1410*$K$2)^2)&gt;0,1/(D1410^2+(B1410*$K$2)^2),"#N/A")</f>
        <v>#N/A</v>
      </c>
      <c r="M1410" s="9">
        <f t="shared" si="43"/>
        <v>0</v>
      </c>
    </row>
    <row r="1411" spans="12:13" x14ac:dyDescent="0.25">
      <c r="L1411" s="9" t="str">
        <f t="shared" si="44"/>
        <v>#N/A</v>
      </c>
      <c r="M1411" s="9">
        <f t="shared" ref="M1411:M1474" si="45">IF(B1411*$K$2&gt;D1411*10,1,0)</f>
        <v>0</v>
      </c>
    </row>
    <row r="1412" spans="12:13" x14ac:dyDescent="0.25">
      <c r="L1412" s="9" t="str">
        <f t="shared" si="44"/>
        <v>#N/A</v>
      </c>
      <c r="M1412" s="9">
        <f t="shared" si="45"/>
        <v>0</v>
      </c>
    </row>
    <row r="1413" spans="12:13" x14ac:dyDescent="0.25">
      <c r="L1413" s="9" t="str">
        <f t="shared" si="44"/>
        <v>#N/A</v>
      </c>
      <c r="M1413" s="9">
        <f t="shared" si="45"/>
        <v>0</v>
      </c>
    </row>
    <row r="1414" spans="12:13" x14ac:dyDescent="0.25">
      <c r="L1414" s="9" t="str">
        <f t="shared" si="44"/>
        <v>#N/A</v>
      </c>
      <c r="M1414" s="9">
        <f t="shared" si="45"/>
        <v>0</v>
      </c>
    </row>
    <row r="1415" spans="12:13" x14ac:dyDescent="0.25">
      <c r="L1415" s="9" t="str">
        <f t="shared" si="44"/>
        <v>#N/A</v>
      </c>
      <c r="M1415" s="9">
        <f t="shared" si="45"/>
        <v>0</v>
      </c>
    </row>
    <row r="1416" spans="12:13" x14ac:dyDescent="0.25">
      <c r="L1416" s="9" t="str">
        <f t="shared" si="44"/>
        <v>#N/A</v>
      </c>
      <c r="M1416" s="9">
        <f t="shared" si="45"/>
        <v>0</v>
      </c>
    </row>
    <row r="1417" spans="12:13" x14ac:dyDescent="0.25">
      <c r="L1417" s="9" t="str">
        <f t="shared" si="44"/>
        <v>#N/A</v>
      </c>
      <c r="M1417" s="9">
        <f t="shared" si="45"/>
        <v>0</v>
      </c>
    </row>
    <row r="1418" spans="12:13" x14ac:dyDescent="0.25">
      <c r="L1418" s="9" t="str">
        <f t="shared" si="44"/>
        <v>#N/A</v>
      </c>
      <c r="M1418" s="9">
        <f t="shared" si="45"/>
        <v>0</v>
      </c>
    </row>
    <row r="1419" spans="12:13" x14ac:dyDescent="0.25">
      <c r="L1419" s="9" t="str">
        <f t="shared" si="44"/>
        <v>#N/A</v>
      </c>
      <c r="M1419" s="9">
        <f t="shared" si="45"/>
        <v>0</v>
      </c>
    </row>
    <row r="1420" spans="12:13" x14ac:dyDescent="0.25">
      <c r="L1420" s="9" t="str">
        <f t="shared" si="44"/>
        <v>#N/A</v>
      </c>
      <c r="M1420" s="9">
        <f t="shared" si="45"/>
        <v>0</v>
      </c>
    </row>
    <row r="1421" spans="12:13" x14ac:dyDescent="0.25">
      <c r="L1421" s="9" t="str">
        <f t="shared" si="44"/>
        <v>#N/A</v>
      </c>
      <c r="M1421" s="9">
        <f t="shared" si="45"/>
        <v>0</v>
      </c>
    </row>
    <row r="1422" spans="12:13" x14ac:dyDescent="0.25">
      <c r="L1422" s="9" t="str">
        <f t="shared" si="44"/>
        <v>#N/A</v>
      </c>
      <c r="M1422" s="9">
        <f t="shared" si="45"/>
        <v>0</v>
      </c>
    </row>
    <row r="1423" spans="12:13" x14ac:dyDescent="0.25">
      <c r="L1423" s="9" t="str">
        <f t="shared" si="44"/>
        <v>#N/A</v>
      </c>
      <c r="M1423" s="9">
        <f t="shared" si="45"/>
        <v>0</v>
      </c>
    </row>
    <row r="1424" spans="12:13" x14ac:dyDescent="0.25">
      <c r="L1424" s="9" t="str">
        <f t="shared" si="44"/>
        <v>#N/A</v>
      </c>
      <c r="M1424" s="9">
        <f t="shared" si="45"/>
        <v>0</v>
      </c>
    </row>
    <row r="1425" spans="12:13" x14ac:dyDescent="0.25">
      <c r="L1425" s="9" t="str">
        <f t="shared" si="44"/>
        <v>#N/A</v>
      </c>
      <c r="M1425" s="9">
        <f t="shared" si="45"/>
        <v>0</v>
      </c>
    </row>
    <row r="1426" spans="12:13" x14ac:dyDescent="0.25">
      <c r="L1426" s="9" t="str">
        <f t="shared" si="44"/>
        <v>#N/A</v>
      </c>
      <c r="M1426" s="9">
        <f t="shared" si="45"/>
        <v>0</v>
      </c>
    </row>
    <row r="1427" spans="12:13" x14ac:dyDescent="0.25">
      <c r="L1427" s="9" t="str">
        <f t="shared" si="44"/>
        <v>#N/A</v>
      </c>
      <c r="M1427" s="9">
        <f t="shared" si="45"/>
        <v>0</v>
      </c>
    </row>
    <row r="1428" spans="12:13" x14ac:dyDescent="0.25">
      <c r="L1428" s="9" t="str">
        <f t="shared" si="44"/>
        <v>#N/A</v>
      </c>
      <c r="M1428" s="9">
        <f t="shared" si="45"/>
        <v>0</v>
      </c>
    </row>
    <row r="1429" spans="12:13" x14ac:dyDescent="0.25">
      <c r="L1429" s="9" t="str">
        <f t="shared" si="44"/>
        <v>#N/A</v>
      </c>
      <c r="M1429" s="9">
        <f t="shared" si="45"/>
        <v>0</v>
      </c>
    </row>
    <row r="1430" spans="12:13" x14ac:dyDescent="0.25">
      <c r="L1430" s="9" t="str">
        <f t="shared" si="44"/>
        <v>#N/A</v>
      </c>
      <c r="M1430" s="9">
        <f t="shared" si="45"/>
        <v>0</v>
      </c>
    </row>
    <row r="1431" spans="12:13" x14ac:dyDescent="0.25">
      <c r="L1431" s="9" t="str">
        <f t="shared" si="44"/>
        <v>#N/A</v>
      </c>
      <c r="M1431" s="9">
        <f t="shared" si="45"/>
        <v>0</v>
      </c>
    </row>
    <row r="1432" spans="12:13" x14ac:dyDescent="0.25">
      <c r="L1432" s="9" t="str">
        <f t="shared" si="44"/>
        <v>#N/A</v>
      </c>
      <c r="M1432" s="9">
        <f t="shared" si="45"/>
        <v>0</v>
      </c>
    </row>
    <row r="1433" spans="12:13" x14ac:dyDescent="0.25">
      <c r="L1433" s="9" t="str">
        <f t="shared" si="44"/>
        <v>#N/A</v>
      </c>
      <c r="M1433" s="9">
        <f t="shared" si="45"/>
        <v>0</v>
      </c>
    </row>
    <row r="1434" spans="12:13" x14ac:dyDescent="0.25">
      <c r="L1434" s="9" t="str">
        <f t="shared" si="44"/>
        <v>#N/A</v>
      </c>
      <c r="M1434" s="9">
        <f t="shared" si="45"/>
        <v>0</v>
      </c>
    </row>
    <row r="1435" spans="12:13" x14ac:dyDescent="0.25">
      <c r="L1435" s="9" t="str">
        <f t="shared" si="44"/>
        <v>#N/A</v>
      </c>
      <c r="M1435" s="9">
        <f t="shared" si="45"/>
        <v>0</v>
      </c>
    </row>
    <row r="1436" spans="12:13" x14ac:dyDescent="0.25">
      <c r="L1436" s="9" t="str">
        <f t="shared" si="44"/>
        <v>#N/A</v>
      </c>
      <c r="M1436" s="9">
        <f t="shared" si="45"/>
        <v>0</v>
      </c>
    </row>
    <row r="1437" spans="12:13" x14ac:dyDescent="0.25">
      <c r="L1437" s="9" t="str">
        <f t="shared" si="44"/>
        <v>#N/A</v>
      </c>
      <c r="M1437" s="9">
        <f t="shared" si="45"/>
        <v>0</v>
      </c>
    </row>
    <row r="1438" spans="12:13" x14ac:dyDescent="0.25">
      <c r="L1438" s="9" t="str">
        <f t="shared" si="44"/>
        <v>#N/A</v>
      </c>
      <c r="M1438" s="9">
        <f t="shared" si="45"/>
        <v>0</v>
      </c>
    </row>
    <row r="1439" spans="12:13" x14ac:dyDescent="0.25">
      <c r="L1439" s="9" t="str">
        <f t="shared" si="44"/>
        <v>#N/A</v>
      </c>
      <c r="M1439" s="9">
        <f t="shared" si="45"/>
        <v>0</v>
      </c>
    </row>
    <row r="1440" spans="12:13" x14ac:dyDescent="0.25">
      <c r="L1440" s="9" t="str">
        <f t="shared" si="44"/>
        <v>#N/A</v>
      </c>
      <c r="M1440" s="9">
        <f t="shared" si="45"/>
        <v>0</v>
      </c>
    </row>
    <row r="1441" spans="12:13" x14ac:dyDescent="0.25">
      <c r="L1441" s="9" t="str">
        <f t="shared" si="44"/>
        <v>#N/A</v>
      </c>
      <c r="M1441" s="9">
        <f t="shared" si="45"/>
        <v>0</v>
      </c>
    </row>
    <row r="1442" spans="12:13" x14ac:dyDescent="0.25">
      <c r="L1442" s="9" t="str">
        <f t="shared" si="44"/>
        <v>#N/A</v>
      </c>
      <c r="M1442" s="9">
        <f t="shared" si="45"/>
        <v>0</v>
      </c>
    </row>
    <row r="1443" spans="12:13" x14ac:dyDescent="0.25">
      <c r="L1443" s="9" t="str">
        <f t="shared" si="44"/>
        <v>#N/A</v>
      </c>
      <c r="M1443" s="9">
        <f t="shared" si="45"/>
        <v>0</v>
      </c>
    </row>
    <row r="1444" spans="12:13" x14ac:dyDescent="0.25">
      <c r="L1444" s="9" t="str">
        <f t="shared" si="44"/>
        <v>#N/A</v>
      </c>
      <c r="M1444" s="9">
        <f t="shared" si="45"/>
        <v>0</v>
      </c>
    </row>
    <row r="1445" spans="12:13" x14ac:dyDescent="0.25">
      <c r="L1445" s="9" t="str">
        <f t="shared" si="44"/>
        <v>#N/A</v>
      </c>
      <c r="M1445" s="9">
        <f t="shared" si="45"/>
        <v>0</v>
      </c>
    </row>
    <row r="1446" spans="12:13" x14ac:dyDescent="0.25">
      <c r="L1446" s="9" t="str">
        <f t="shared" si="44"/>
        <v>#N/A</v>
      </c>
      <c r="M1446" s="9">
        <f t="shared" si="45"/>
        <v>0</v>
      </c>
    </row>
    <row r="1447" spans="12:13" x14ac:dyDescent="0.25">
      <c r="L1447" s="9" t="str">
        <f t="shared" si="44"/>
        <v>#N/A</v>
      </c>
      <c r="M1447" s="9">
        <f t="shared" si="45"/>
        <v>0</v>
      </c>
    </row>
    <row r="1448" spans="12:13" x14ac:dyDescent="0.25">
      <c r="L1448" s="9" t="str">
        <f t="shared" si="44"/>
        <v>#N/A</v>
      </c>
      <c r="M1448" s="9">
        <f t="shared" si="45"/>
        <v>0</v>
      </c>
    </row>
    <row r="1449" spans="12:13" x14ac:dyDescent="0.25">
      <c r="L1449" s="9" t="str">
        <f t="shared" si="44"/>
        <v>#N/A</v>
      </c>
      <c r="M1449" s="9">
        <f t="shared" si="45"/>
        <v>0</v>
      </c>
    </row>
    <row r="1450" spans="12:13" x14ac:dyDescent="0.25">
      <c r="L1450" s="9" t="str">
        <f t="shared" si="44"/>
        <v>#N/A</v>
      </c>
      <c r="M1450" s="9">
        <f t="shared" si="45"/>
        <v>0</v>
      </c>
    </row>
    <row r="1451" spans="12:13" x14ac:dyDescent="0.25">
      <c r="L1451" s="9" t="str">
        <f t="shared" si="44"/>
        <v>#N/A</v>
      </c>
      <c r="M1451" s="9">
        <f t="shared" si="45"/>
        <v>0</v>
      </c>
    </row>
    <row r="1452" spans="12:13" x14ac:dyDescent="0.25">
      <c r="L1452" s="9" t="str">
        <f t="shared" si="44"/>
        <v>#N/A</v>
      </c>
      <c r="M1452" s="9">
        <f t="shared" si="45"/>
        <v>0</v>
      </c>
    </row>
    <row r="1453" spans="12:13" x14ac:dyDescent="0.25">
      <c r="L1453" s="9" t="str">
        <f t="shared" si="44"/>
        <v>#N/A</v>
      </c>
      <c r="M1453" s="9">
        <f t="shared" si="45"/>
        <v>0</v>
      </c>
    </row>
    <row r="1454" spans="12:13" x14ac:dyDescent="0.25">
      <c r="L1454" s="9" t="str">
        <f t="shared" si="44"/>
        <v>#N/A</v>
      </c>
      <c r="M1454" s="9">
        <f t="shared" si="45"/>
        <v>0</v>
      </c>
    </row>
    <row r="1455" spans="12:13" x14ac:dyDescent="0.25">
      <c r="L1455" s="9" t="str">
        <f t="shared" si="44"/>
        <v>#N/A</v>
      </c>
      <c r="M1455" s="9">
        <f t="shared" si="45"/>
        <v>0</v>
      </c>
    </row>
    <row r="1456" spans="12:13" x14ac:dyDescent="0.25">
      <c r="L1456" s="9" t="str">
        <f t="shared" si="44"/>
        <v>#N/A</v>
      </c>
      <c r="M1456" s="9">
        <f t="shared" si="45"/>
        <v>0</v>
      </c>
    </row>
    <row r="1457" spans="12:13" x14ac:dyDescent="0.25">
      <c r="L1457" s="9" t="str">
        <f t="shared" si="44"/>
        <v>#N/A</v>
      </c>
      <c r="M1457" s="9">
        <f t="shared" si="45"/>
        <v>0</v>
      </c>
    </row>
    <row r="1458" spans="12:13" x14ac:dyDescent="0.25">
      <c r="L1458" s="9" t="str">
        <f t="shared" si="44"/>
        <v>#N/A</v>
      </c>
      <c r="M1458" s="9">
        <f t="shared" si="45"/>
        <v>0</v>
      </c>
    </row>
    <row r="1459" spans="12:13" x14ac:dyDescent="0.25">
      <c r="L1459" s="9" t="str">
        <f t="shared" si="44"/>
        <v>#N/A</v>
      </c>
      <c r="M1459" s="9">
        <f t="shared" si="45"/>
        <v>0</v>
      </c>
    </row>
    <row r="1460" spans="12:13" x14ac:dyDescent="0.25">
      <c r="L1460" s="9" t="str">
        <f t="shared" si="44"/>
        <v>#N/A</v>
      </c>
      <c r="M1460" s="9">
        <f t="shared" si="45"/>
        <v>0</v>
      </c>
    </row>
    <row r="1461" spans="12:13" x14ac:dyDescent="0.25">
      <c r="L1461" s="9" t="str">
        <f t="shared" si="44"/>
        <v>#N/A</v>
      </c>
      <c r="M1461" s="9">
        <f t="shared" si="45"/>
        <v>0</v>
      </c>
    </row>
    <row r="1462" spans="12:13" x14ac:dyDescent="0.25">
      <c r="L1462" s="9" t="str">
        <f t="shared" si="44"/>
        <v>#N/A</v>
      </c>
      <c r="M1462" s="9">
        <f t="shared" si="45"/>
        <v>0</v>
      </c>
    </row>
    <row r="1463" spans="12:13" x14ac:dyDescent="0.25">
      <c r="L1463" s="9" t="str">
        <f t="shared" si="44"/>
        <v>#N/A</v>
      </c>
      <c r="M1463" s="9">
        <f t="shared" si="45"/>
        <v>0</v>
      </c>
    </row>
    <row r="1464" spans="12:13" x14ac:dyDescent="0.25">
      <c r="L1464" s="9" t="str">
        <f t="shared" si="44"/>
        <v>#N/A</v>
      </c>
      <c r="M1464" s="9">
        <f t="shared" si="45"/>
        <v>0</v>
      </c>
    </row>
    <row r="1465" spans="12:13" x14ac:dyDescent="0.25">
      <c r="L1465" s="9" t="str">
        <f t="shared" si="44"/>
        <v>#N/A</v>
      </c>
      <c r="M1465" s="9">
        <f t="shared" si="45"/>
        <v>0</v>
      </c>
    </row>
    <row r="1466" spans="12:13" x14ac:dyDescent="0.25">
      <c r="L1466" s="9" t="str">
        <f t="shared" si="44"/>
        <v>#N/A</v>
      </c>
      <c r="M1466" s="9">
        <f t="shared" si="45"/>
        <v>0</v>
      </c>
    </row>
    <row r="1467" spans="12:13" x14ac:dyDescent="0.25">
      <c r="L1467" s="9" t="str">
        <f t="shared" si="44"/>
        <v>#N/A</v>
      </c>
      <c r="M1467" s="9">
        <f t="shared" si="45"/>
        <v>0</v>
      </c>
    </row>
    <row r="1468" spans="12:13" x14ac:dyDescent="0.25">
      <c r="L1468" s="9" t="str">
        <f t="shared" si="44"/>
        <v>#N/A</v>
      </c>
      <c r="M1468" s="9">
        <f t="shared" si="45"/>
        <v>0</v>
      </c>
    </row>
    <row r="1469" spans="12:13" x14ac:dyDescent="0.25">
      <c r="L1469" s="9" t="str">
        <f t="shared" si="44"/>
        <v>#N/A</v>
      </c>
      <c r="M1469" s="9">
        <f t="shared" si="45"/>
        <v>0</v>
      </c>
    </row>
    <row r="1470" spans="12:13" x14ac:dyDescent="0.25">
      <c r="L1470" s="9" t="str">
        <f t="shared" si="44"/>
        <v>#N/A</v>
      </c>
      <c r="M1470" s="9">
        <f t="shared" si="45"/>
        <v>0</v>
      </c>
    </row>
    <row r="1471" spans="12:13" x14ac:dyDescent="0.25">
      <c r="L1471" s="9" t="str">
        <f t="shared" si="44"/>
        <v>#N/A</v>
      </c>
      <c r="M1471" s="9">
        <f t="shared" si="45"/>
        <v>0</v>
      </c>
    </row>
    <row r="1472" spans="12:13" x14ac:dyDescent="0.25">
      <c r="L1472" s="9" t="str">
        <f t="shared" si="44"/>
        <v>#N/A</v>
      </c>
      <c r="M1472" s="9">
        <f t="shared" si="45"/>
        <v>0</v>
      </c>
    </row>
    <row r="1473" spans="12:13" x14ac:dyDescent="0.25">
      <c r="L1473" s="9" t="str">
        <f t="shared" si="44"/>
        <v>#N/A</v>
      </c>
      <c r="M1473" s="9">
        <f t="shared" si="45"/>
        <v>0</v>
      </c>
    </row>
    <row r="1474" spans="12:13" x14ac:dyDescent="0.25">
      <c r="L1474" s="9" t="str">
        <f t="shared" ref="L1474:L1537" si="46">IF((D1474^2+(B1474*$K$2)^2)&gt;0,1/(D1474^2+(B1474*$K$2)^2),"#N/A")</f>
        <v>#N/A</v>
      </c>
      <c r="M1474" s="9">
        <f t="shared" si="45"/>
        <v>0</v>
      </c>
    </row>
    <row r="1475" spans="12:13" x14ac:dyDescent="0.25">
      <c r="L1475" s="9" t="str">
        <f t="shared" si="46"/>
        <v>#N/A</v>
      </c>
      <c r="M1475" s="9">
        <f t="shared" ref="M1475:M1538" si="47">IF(B1475*$K$2&gt;D1475*10,1,0)</f>
        <v>0</v>
      </c>
    </row>
    <row r="1476" spans="12:13" x14ac:dyDescent="0.25">
      <c r="L1476" s="9" t="str">
        <f t="shared" si="46"/>
        <v>#N/A</v>
      </c>
      <c r="M1476" s="9">
        <f t="shared" si="47"/>
        <v>0</v>
      </c>
    </row>
    <row r="1477" spans="12:13" x14ac:dyDescent="0.25">
      <c r="L1477" s="9" t="str">
        <f t="shared" si="46"/>
        <v>#N/A</v>
      </c>
      <c r="M1477" s="9">
        <f t="shared" si="47"/>
        <v>0</v>
      </c>
    </row>
    <row r="1478" spans="12:13" x14ac:dyDescent="0.25">
      <c r="L1478" s="9" t="str">
        <f t="shared" si="46"/>
        <v>#N/A</v>
      </c>
      <c r="M1478" s="9">
        <f t="shared" si="47"/>
        <v>0</v>
      </c>
    </row>
    <row r="1479" spans="12:13" x14ac:dyDescent="0.25">
      <c r="L1479" s="9" t="str">
        <f t="shared" si="46"/>
        <v>#N/A</v>
      </c>
      <c r="M1479" s="9">
        <f t="shared" si="47"/>
        <v>0</v>
      </c>
    </row>
    <row r="1480" spans="12:13" x14ac:dyDescent="0.25">
      <c r="L1480" s="9" t="str">
        <f t="shared" si="46"/>
        <v>#N/A</v>
      </c>
      <c r="M1480" s="9">
        <f t="shared" si="47"/>
        <v>0</v>
      </c>
    </row>
    <row r="1481" spans="12:13" x14ac:dyDescent="0.25">
      <c r="L1481" s="9" t="str">
        <f t="shared" si="46"/>
        <v>#N/A</v>
      </c>
      <c r="M1481" s="9">
        <f t="shared" si="47"/>
        <v>0</v>
      </c>
    </row>
    <row r="1482" spans="12:13" x14ac:dyDescent="0.25">
      <c r="L1482" s="9" t="str">
        <f t="shared" si="46"/>
        <v>#N/A</v>
      </c>
      <c r="M1482" s="9">
        <f t="shared" si="47"/>
        <v>0</v>
      </c>
    </row>
    <row r="1483" spans="12:13" x14ac:dyDescent="0.25">
      <c r="L1483" s="9" t="str">
        <f t="shared" si="46"/>
        <v>#N/A</v>
      </c>
      <c r="M1483" s="9">
        <f t="shared" si="47"/>
        <v>0</v>
      </c>
    </row>
    <row r="1484" spans="12:13" x14ac:dyDescent="0.25">
      <c r="L1484" s="9" t="str">
        <f t="shared" si="46"/>
        <v>#N/A</v>
      </c>
      <c r="M1484" s="9">
        <f t="shared" si="47"/>
        <v>0</v>
      </c>
    </row>
    <row r="1485" spans="12:13" x14ac:dyDescent="0.25">
      <c r="L1485" s="9" t="str">
        <f t="shared" si="46"/>
        <v>#N/A</v>
      </c>
      <c r="M1485" s="9">
        <f t="shared" si="47"/>
        <v>0</v>
      </c>
    </row>
    <row r="1486" spans="12:13" x14ac:dyDescent="0.25">
      <c r="L1486" s="9" t="str">
        <f t="shared" si="46"/>
        <v>#N/A</v>
      </c>
      <c r="M1486" s="9">
        <f t="shared" si="47"/>
        <v>0</v>
      </c>
    </row>
    <row r="1487" spans="12:13" x14ac:dyDescent="0.25">
      <c r="L1487" s="9" t="str">
        <f t="shared" si="46"/>
        <v>#N/A</v>
      </c>
      <c r="M1487" s="9">
        <f t="shared" si="47"/>
        <v>0</v>
      </c>
    </row>
    <row r="1488" spans="12:13" x14ac:dyDescent="0.25">
      <c r="L1488" s="9" t="str">
        <f t="shared" si="46"/>
        <v>#N/A</v>
      </c>
      <c r="M1488" s="9">
        <f t="shared" si="47"/>
        <v>0</v>
      </c>
    </row>
    <row r="1489" spans="12:13" x14ac:dyDescent="0.25">
      <c r="L1489" s="9" t="str">
        <f t="shared" si="46"/>
        <v>#N/A</v>
      </c>
      <c r="M1489" s="9">
        <f t="shared" si="47"/>
        <v>0</v>
      </c>
    </row>
    <row r="1490" spans="12:13" x14ac:dyDescent="0.25">
      <c r="L1490" s="9" t="str">
        <f t="shared" si="46"/>
        <v>#N/A</v>
      </c>
      <c r="M1490" s="9">
        <f t="shared" si="47"/>
        <v>0</v>
      </c>
    </row>
    <row r="1491" spans="12:13" x14ac:dyDescent="0.25">
      <c r="L1491" s="9" t="str">
        <f t="shared" si="46"/>
        <v>#N/A</v>
      </c>
      <c r="M1491" s="9">
        <f t="shared" si="47"/>
        <v>0</v>
      </c>
    </row>
    <row r="1492" spans="12:13" x14ac:dyDescent="0.25">
      <c r="L1492" s="9" t="str">
        <f t="shared" si="46"/>
        <v>#N/A</v>
      </c>
      <c r="M1492" s="9">
        <f t="shared" si="47"/>
        <v>0</v>
      </c>
    </row>
    <row r="1493" spans="12:13" x14ac:dyDescent="0.25">
      <c r="L1493" s="9" t="str">
        <f t="shared" si="46"/>
        <v>#N/A</v>
      </c>
      <c r="M1493" s="9">
        <f t="shared" si="47"/>
        <v>0</v>
      </c>
    </row>
    <row r="1494" spans="12:13" x14ac:dyDescent="0.25">
      <c r="L1494" s="9" t="str">
        <f t="shared" si="46"/>
        <v>#N/A</v>
      </c>
      <c r="M1494" s="9">
        <f t="shared" si="47"/>
        <v>0</v>
      </c>
    </row>
    <row r="1495" spans="12:13" x14ac:dyDescent="0.25">
      <c r="L1495" s="9" t="str">
        <f t="shared" si="46"/>
        <v>#N/A</v>
      </c>
      <c r="M1495" s="9">
        <f t="shared" si="47"/>
        <v>0</v>
      </c>
    </row>
    <row r="1496" spans="12:13" x14ac:dyDescent="0.25">
      <c r="L1496" s="9" t="str">
        <f t="shared" si="46"/>
        <v>#N/A</v>
      </c>
      <c r="M1496" s="9">
        <f t="shared" si="47"/>
        <v>0</v>
      </c>
    </row>
    <row r="1497" spans="12:13" x14ac:dyDescent="0.25">
      <c r="L1497" s="9" t="str">
        <f t="shared" si="46"/>
        <v>#N/A</v>
      </c>
      <c r="M1497" s="9">
        <f t="shared" si="47"/>
        <v>0</v>
      </c>
    </row>
    <row r="1498" spans="12:13" x14ac:dyDescent="0.25">
      <c r="L1498" s="9" t="str">
        <f t="shared" si="46"/>
        <v>#N/A</v>
      </c>
      <c r="M1498" s="9">
        <f t="shared" si="47"/>
        <v>0</v>
      </c>
    </row>
    <row r="1499" spans="12:13" x14ac:dyDescent="0.25">
      <c r="L1499" s="9" t="str">
        <f t="shared" si="46"/>
        <v>#N/A</v>
      </c>
      <c r="M1499" s="9">
        <f t="shared" si="47"/>
        <v>0</v>
      </c>
    </row>
    <row r="1500" spans="12:13" x14ac:dyDescent="0.25">
      <c r="L1500" s="9" t="str">
        <f t="shared" si="46"/>
        <v>#N/A</v>
      </c>
      <c r="M1500" s="9">
        <f t="shared" si="47"/>
        <v>0</v>
      </c>
    </row>
    <row r="1501" spans="12:13" x14ac:dyDescent="0.25">
      <c r="L1501" s="9" t="str">
        <f t="shared" si="46"/>
        <v>#N/A</v>
      </c>
      <c r="M1501" s="9">
        <f t="shared" si="47"/>
        <v>0</v>
      </c>
    </row>
    <row r="1502" spans="12:13" x14ac:dyDescent="0.25">
      <c r="L1502" s="9" t="str">
        <f t="shared" si="46"/>
        <v>#N/A</v>
      </c>
      <c r="M1502" s="9">
        <f t="shared" si="47"/>
        <v>0</v>
      </c>
    </row>
    <row r="1503" spans="12:13" x14ac:dyDescent="0.25">
      <c r="L1503" s="9" t="str">
        <f t="shared" si="46"/>
        <v>#N/A</v>
      </c>
      <c r="M1503" s="9">
        <f t="shared" si="47"/>
        <v>0</v>
      </c>
    </row>
    <row r="1504" spans="12:13" x14ac:dyDescent="0.25">
      <c r="L1504" s="9" t="str">
        <f t="shared" si="46"/>
        <v>#N/A</v>
      </c>
      <c r="M1504" s="9">
        <f t="shared" si="47"/>
        <v>0</v>
      </c>
    </row>
    <row r="1505" spans="12:13" x14ac:dyDescent="0.25">
      <c r="L1505" s="9" t="str">
        <f t="shared" si="46"/>
        <v>#N/A</v>
      </c>
      <c r="M1505" s="9">
        <f t="shared" si="47"/>
        <v>0</v>
      </c>
    </row>
    <row r="1506" spans="12:13" x14ac:dyDescent="0.25">
      <c r="L1506" s="9" t="str">
        <f t="shared" si="46"/>
        <v>#N/A</v>
      </c>
      <c r="M1506" s="9">
        <f t="shared" si="47"/>
        <v>0</v>
      </c>
    </row>
    <row r="1507" spans="12:13" x14ac:dyDescent="0.25">
      <c r="L1507" s="9" t="str">
        <f t="shared" si="46"/>
        <v>#N/A</v>
      </c>
      <c r="M1507" s="9">
        <f t="shared" si="47"/>
        <v>0</v>
      </c>
    </row>
    <row r="1508" spans="12:13" x14ac:dyDescent="0.25">
      <c r="L1508" s="9" t="str">
        <f t="shared" si="46"/>
        <v>#N/A</v>
      </c>
      <c r="M1508" s="9">
        <f t="shared" si="47"/>
        <v>0</v>
      </c>
    </row>
    <row r="1509" spans="12:13" x14ac:dyDescent="0.25">
      <c r="L1509" s="9" t="str">
        <f t="shared" si="46"/>
        <v>#N/A</v>
      </c>
      <c r="M1509" s="9">
        <f t="shared" si="47"/>
        <v>0</v>
      </c>
    </row>
    <row r="1510" spans="12:13" x14ac:dyDescent="0.25">
      <c r="L1510" s="9" t="str">
        <f t="shared" si="46"/>
        <v>#N/A</v>
      </c>
      <c r="M1510" s="9">
        <f t="shared" si="47"/>
        <v>0</v>
      </c>
    </row>
    <row r="1511" spans="12:13" x14ac:dyDescent="0.25">
      <c r="L1511" s="9" t="str">
        <f t="shared" si="46"/>
        <v>#N/A</v>
      </c>
      <c r="M1511" s="9">
        <f t="shared" si="47"/>
        <v>0</v>
      </c>
    </row>
    <row r="1512" spans="12:13" x14ac:dyDescent="0.25">
      <c r="L1512" s="9" t="str">
        <f t="shared" si="46"/>
        <v>#N/A</v>
      </c>
      <c r="M1512" s="9">
        <f t="shared" si="47"/>
        <v>0</v>
      </c>
    </row>
    <row r="1513" spans="12:13" x14ac:dyDescent="0.25">
      <c r="L1513" s="9" t="str">
        <f t="shared" si="46"/>
        <v>#N/A</v>
      </c>
      <c r="M1513" s="9">
        <f t="shared" si="47"/>
        <v>0</v>
      </c>
    </row>
    <row r="1514" spans="12:13" x14ac:dyDescent="0.25">
      <c r="L1514" s="9" t="str">
        <f t="shared" si="46"/>
        <v>#N/A</v>
      </c>
      <c r="M1514" s="9">
        <f t="shared" si="47"/>
        <v>0</v>
      </c>
    </row>
    <row r="1515" spans="12:13" x14ac:dyDescent="0.25">
      <c r="L1515" s="9" t="str">
        <f t="shared" si="46"/>
        <v>#N/A</v>
      </c>
      <c r="M1515" s="9">
        <f t="shared" si="47"/>
        <v>0</v>
      </c>
    </row>
    <row r="1516" spans="12:13" x14ac:dyDescent="0.25">
      <c r="L1516" s="9" t="str">
        <f t="shared" si="46"/>
        <v>#N/A</v>
      </c>
      <c r="M1516" s="9">
        <f t="shared" si="47"/>
        <v>0</v>
      </c>
    </row>
    <row r="1517" spans="12:13" x14ac:dyDescent="0.25">
      <c r="L1517" s="9" t="str">
        <f t="shared" si="46"/>
        <v>#N/A</v>
      </c>
      <c r="M1517" s="9">
        <f t="shared" si="47"/>
        <v>0</v>
      </c>
    </row>
    <row r="1518" spans="12:13" x14ac:dyDescent="0.25">
      <c r="L1518" s="9" t="str">
        <f t="shared" si="46"/>
        <v>#N/A</v>
      </c>
      <c r="M1518" s="9">
        <f t="shared" si="47"/>
        <v>0</v>
      </c>
    </row>
    <row r="1519" spans="12:13" x14ac:dyDescent="0.25">
      <c r="L1519" s="9" t="str">
        <f t="shared" si="46"/>
        <v>#N/A</v>
      </c>
      <c r="M1519" s="9">
        <f t="shared" si="47"/>
        <v>0</v>
      </c>
    </row>
    <row r="1520" spans="12:13" x14ac:dyDescent="0.25">
      <c r="L1520" s="9" t="str">
        <f t="shared" si="46"/>
        <v>#N/A</v>
      </c>
      <c r="M1520" s="9">
        <f t="shared" si="47"/>
        <v>0</v>
      </c>
    </row>
    <row r="1521" spans="12:13" x14ac:dyDescent="0.25">
      <c r="L1521" s="9" t="str">
        <f t="shared" si="46"/>
        <v>#N/A</v>
      </c>
      <c r="M1521" s="9">
        <f t="shared" si="47"/>
        <v>0</v>
      </c>
    </row>
    <row r="1522" spans="12:13" x14ac:dyDescent="0.25">
      <c r="L1522" s="9" t="str">
        <f t="shared" si="46"/>
        <v>#N/A</v>
      </c>
      <c r="M1522" s="9">
        <f t="shared" si="47"/>
        <v>0</v>
      </c>
    </row>
    <row r="1523" spans="12:13" x14ac:dyDescent="0.25">
      <c r="L1523" s="9" t="str">
        <f t="shared" si="46"/>
        <v>#N/A</v>
      </c>
      <c r="M1523" s="9">
        <f t="shared" si="47"/>
        <v>0</v>
      </c>
    </row>
    <row r="1524" spans="12:13" x14ac:dyDescent="0.25">
      <c r="L1524" s="9" t="str">
        <f t="shared" si="46"/>
        <v>#N/A</v>
      </c>
      <c r="M1524" s="9">
        <f t="shared" si="47"/>
        <v>0</v>
      </c>
    </row>
    <row r="1525" spans="12:13" x14ac:dyDescent="0.25">
      <c r="L1525" s="9" t="str">
        <f t="shared" si="46"/>
        <v>#N/A</v>
      </c>
      <c r="M1525" s="9">
        <f t="shared" si="47"/>
        <v>0</v>
      </c>
    </row>
    <row r="1526" spans="12:13" x14ac:dyDescent="0.25">
      <c r="L1526" s="9" t="str">
        <f t="shared" si="46"/>
        <v>#N/A</v>
      </c>
      <c r="M1526" s="9">
        <f t="shared" si="47"/>
        <v>0</v>
      </c>
    </row>
    <row r="1527" spans="12:13" x14ac:dyDescent="0.25">
      <c r="L1527" s="9" t="str">
        <f t="shared" si="46"/>
        <v>#N/A</v>
      </c>
      <c r="M1527" s="9">
        <f t="shared" si="47"/>
        <v>0</v>
      </c>
    </row>
    <row r="1528" spans="12:13" x14ac:dyDescent="0.25">
      <c r="L1528" s="9" t="str">
        <f t="shared" si="46"/>
        <v>#N/A</v>
      </c>
      <c r="M1528" s="9">
        <f t="shared" si="47"/>
        <v>0</v>
      </c>
    </row>
    <row r="1529" spans="12:13" x14ac:dyDescent="0.25">
      <c r="L1529" s="9" t="str">
        <f t="shared" si="46"/>
        <v>#N/A</v>
      </c>
      <c r="M1529" s="9">
        <f t="shared" si="47"/>
        <v>0</v>
      </c>
    </row>
    <row r="1530" spans="12:13" x14ac:dyDescent="0.25">
      <c r="L1530" s="9" t="str">
        <f t="shared" si="46"/>
        <v>#N/A</v>
      </c>
      <c r="M1530" s="9">
        <f t="shared" si="47"/>
        <v>0</v>
      </c>
    </row>
    <row r="1531" spans="12:13" x14ac:dyDescent="0.25">
      <c r="L1531" s="9" t="str">
        <f t="shared" si="46"/>
        <v>#N/A</v>
      </c>
      <c r="M1531" s="9">
        <f t="shared" si="47"/>
        <v>0</v>
      </c>
    </row>
    <row r="1532" spans="12:13" x14ac:dyDescent="0.25">
      <c r="L1532" s="9" t="str">
        <f t="shared" si="46"/>
        <v>#N/A</v>
      </c>
      <c r="M1532" s="9">
        <f t="shared" si="47"/>
        <v>0</v>
      </c>
    </row>
    <row r="1533" spans="12:13" x14ac:dyDescent="0.25">
      <c r="L1533" s="9" t="str">
        <f t="shared" si="46"/>
        <v>#N/A</v>
      </c>
      <c r="M1533" s="9">
        <f t="shared" si="47"/>
        <v>0</v>
      </c>
    </row>
    <row r="1534" spans="12:13" x14ac:dyDescent="0.25">
      <c r="L1534" s="9" t="str">
        <f t="shared" si="46"/>
        <v>#N/A</v>
      </c>
      <c r="M1534" s="9">
        <f t="shared" si="47"/>
        <v>0</v>
      </c>
    </row>
    <row r="1535" spans="12:13" x14ac:dyDescent="0.25">
      <c r="L1535" s="9" t="str">
        <f t="shared" si="46"/>
        <v>#N/A</v>
      </c>
      <c r="M1535" s="9">
        <f t="shared" si="47"/>
        <v>0</v>
      </c>
    </row>
    <row r="1536" spans="12:13" x14ac:dyDescent="0.25">
      <c r="L1536" s="9" t="str">
        <f t="shared" si="46"/>
        <v>#N/A</v>
      </c>
      <c r="M1536" s="9">
        <f t="shared" si="47"/>
        <v>0</v>
      </c>
    </row>
    <row r="1537" spans="12:13" x14ac:dyDescent="0.25">
      <c r="L1537" s="9" t="str">
        <f t="shared" si="46"/>
        <v>#N/A</v>
      </c>
      <c r="M1537" s="9">
        <f t="shared" si="47"/>
        <v>0</v>
      </c>
    </row>
    <row r="1538" spans="12:13" x14ac:dyDescent="0.25">
      <c r="L1538" s="9" t="str">
        <f t="shared" ref="L1538:L1601" si="48">IF((D1538^2+(B1538*$K$2)^2)&gt;0,1/(D1538^2+(B1538*$K$2)^2),"#N/A")</f>
        <v>#N/A</v>
      </c>
      <c r="M1538" s="9">
        <f t="shared" si="47"/>
        <v>0</v>
      </c>
    </row>
    <row r="1539" spans="12:13" x14ac:dyDescent="0.25">
      <c r="L1539" s="9" t="str">
        <f t="shared" si="48"/>
        <v>#N/A</v>
      </c>
      <c r="M1539" s="9">
        <f t="shared" ref="M1539:M1602" si="49">IF(B1539*$K$2&gt;D1539*10,1,0)</f>
        <v>0</v>
      </c>
    </row>
    <row r="1540" spans="12:13" x14ac:dyDescent="0.25">
      <c r="L1540" s="9" t="str">
        <f t="shared" si="48"/>
        <v>#N/A</v>
      </c>
      <c r="M1540" s="9">
        <f t="shared" si="49"/>
        <v>0</v>
      </c>
    </row>
    <row r="1541" spans="12:13" x14ac:dyDescent="0.25">
      <c r="L1541" s="9" t="str">
        <f t="shared" si="48"/>
        <v>#N/A</v>
      </c>
      <c r="M1541" s="9">
        <f t="shared" si="49"/>
        <v>0</v>
      </c>
    </row>
    <row r="1542" spans="12:13" x14ac:dyDescent="0.25">
      <c r="L1542" s="9" t="str">
        <f t="shared" si="48"/>
        <v>#N/A</v>
      </c>
      <c r="M1542" s="9">
        <f t="shared" si="49"/>
        <v>0</v>
      </c>
    </row>
    <row r="1543" spans="12:13" x14ac:dyDescent="0.25">
      <c r="L1543" s="9" t="str">
        <f t="shared" si="48"/>
        <v>#N/A</v>
      </c>
      <c r="M1543" s="9">
        <f t="shared" si="49"/>
        <v>0</v>
      </c>
    </row>
    <row r="1544" spans="12:13" x14ac:dyDescent="0.25">
      <c r="L1544" s="9" t="str">
        <f t="shared" si="48"/>
        <v>#N/A</v>
      </c>
      <c r="M1544" s="9">
        <f t="shared" si="49"/>
        <v>0</v>
      </c>
    </row>
    <row r="1545" spans="12:13" x14ac:dyDescent="0.25">
      <c r="L1545" s="9" t="str">
        <f t="shared" si="48"/>
        <v>#N/A</v>
      </c>
      <c r="M1545" s="9">
        <f t="shared" si="49"/>
        <v>0</v>
      </c>
    </row>
    <row r="1546" spans="12:13" x14ac:dyDescent="0.25">
      <c r="L1546" s="9" t="str">
        <f t="shared" si="48"/>
        <v>#N/A</v>
      </c>
      <c r="M1546" s="9">
        <f t="shared" si="49"/>
        <v>0</v>
      </c>
    </row>
    <row r="1547" spans="12:13" x14ac:dyDescent="0.25">
      <c r="L1547" s="9" t="str">
        <f t="shared" si="48"/>
        <v>#N/A</v>
      </c>
      <c r="M1547" s="9">
        <f t="shared" si="49"/>
        <v>0</v>
      </c>
    </row>
    <row r="1548" spans="12:13" x14ac:dyDescent="0.25">
      <c r="L1548" s="9" t="str">
        <f t="shared" si="48"/>
        <v>#N/A</v>
      </c>
      <c r="M1548" s="9">
        <f t="shared" si="49"/>
        <v>0</v>
      </c>
    </row>
    <row r="1549" spans="12:13" x14ac:dyDescent="0.25">
      <c r="L1549" s="9" t="str">
        <f t="shared" si="48"/>
        <v>#N/A</v>
      </c>
      <c r="M1549" s="9">
        <f t="shared" si="49"/>
        <v>0</v>
      </c>
    </row>
    <row r="1550" spans="12:13" x14ac:dyDescent="0.25">
      <c r="L1550" s="9" t="str">
        <f t="shared" si="48"/>
        <v>#N/A</v>
      </c>
      <c r="M1550" s="9">
        <f t="shared" si="49"/>
        <v>0</v>
      </c>
    </row>
    <row r="1551" spans="12:13" x14ac:dyDescent="0.25">
      <c r="L1551" s="9" t="str">
        <f t="shared" si="48"/>
        <v>#N/A</v>
      </c>
      <c r="M1551" s="9">
        <f t="shared" si="49"/>
        <v>0</v>
      </c>
    </row>
    <row r="1552" spans="12:13" x14ac:dyDescent="0.25">
      <c r="L1552" s="9" t="str">
        <f t="shared" si="48"/>
        <v>#N/A</v>
      </c>
      <c r="M1552" s="9">
        <f t="shared" si="49"/>
        <v>0</v>
      </c>
    </row>
    <row r="1553" spans="12:13" x14ac:dyDescent="0.25">
      <c r="L1553" s="9" t="str">
        <f t="shared" si="48"/>
        <v>#N/A</v>
      </c>
      <c r="M1553" s="9">
        <f t="shared" si="49"/>
        <v>0</v>
      </c>
    </row>
    <row r="1554" spans="12:13" x14ac:dyDescent="0.25">
      <c r="L1554" s="9" t="str">
        <f t="shared" si="48"/>
        <v>#N/A</v>
      </c>
      <c r="M1554" s="9">
        <f t="shared" si="49"/>
        <v>0</v>
      </c>
    </row>
    <row r="1555" spans="12:13" x14ac:dyDescent="0.25">
      <c r="L1555" s="9" t="str">
        <f t="shared" si="48"/>
        <v>#N/A</v>
      </c>
      <c r="M1555" s="9">
        <f t="shared" si="49"/>
        <v>0</v>
      </c>
    </row>
    <row r="1556" spans="12:13" x14ac:dyDescent="0.25">
      <c r="L1556" s="9" t="str">
        <f t="shared" si="48"/>
        <v>#N/A</v>
      </c>
      <c r="M1556" s="9">
        <f t="shared" si="49"/>
        <v>0</v>
      </c>
    </row>
    <row r="1557" spans="12:13" x14ac:dyDescent="0.25">
      <c r="L1557" s="9" t="str">
        <f t="shared" si="48"/>
        <v>#N/A</v>
      </c>
      <c r="M1557" s="9">
        <f t="shared" si="49"/>
        <v>0</v>
      </c>
    </row>
    <row r="1558" spans="12:13" x14ac:dyDescent="0.25">
      <c r="L1558" s="9" t="str">
        <f t="shared" si="48"/>
        <v>#N/A</v>
      </c>
      <c r="M1558" s="9">
        <f t="shared" si="49"/>
        <v>0</v>
      </c>
    </row>
    <row r="1559" spans="12:13" x14ac:dyDescent="0.25">
      <c r="L1559" s="9" t="str">
        <f t="shared" si="48"/>
        <v>#N/A</v>
      </c>
      <c r="M1559" s="9">
        <f t="shared" si="49"/>
        <v>0</v>
      </c>
    </row>
    <row r="1560" spans="12:13" x14ac:dyDescent="0.25">
      <c r="L1560" s="9" t="str">
        <f t="shared" si="48"/>
        <v>#N/A</v>
      </c>
      <c r="M1560" s="9">
        <f t="shared" si="49"/>
        <v>0</v>
      </c>
    </row>
    <row r="1561" spans="12:13" x14ac:dyDescent="0.25">
      <c r="L1561" s="9" t="str">
        <f t="shared" si="48"/>
        <v>#N/A</v>
      </c>
      <c r="M1561" s="9">
        <f t="shared" si="49"/>
        <v>0</v>
      </c>
    </row>
    <row r="1562" spans="12:13" x14ac:dyDescent="0.25">
      <c r="L1562" s="9" t="str">
        <f t="shared" si="48"/>
        <v>#N/A</v>
      </c>
      <c r="M1562" s="9">
        <f t="shared" si="49"/>
        <v>0</v>
      </c>
    </row>
    <row r="1563" spans="12:13" x14ac:dyDescent="0.25">
      <c r="L1563" s="9" t="str">
        <f t="shared" si="48"/>
        <v>#N/A</v>
      </c>
      <c r="M1563" s="9">
        <f t="shared" si="49"/>
        <v>0</v>
      </c>
    </row>
    <row r="1564" spans="12:13" x14ac:dyDescent="0.25">
      <c r="L1564" s="9" t="str">
        <f t="shared" si="48"/>
        <v>#N/A</v>
      </c>
      <c r="M1564" s="9">
        <f t="shared" si="49"/>
        <v>0</v>
      </c>
    </row>
    <row r="1565" spans="12:13" x14ac:dyDescent="0.25">
      <c r="L1565" s="9" t="str">
        <f t="shared" si="48"/>
        <v>#N/A</v>
      </c>
      <c r="M1565" s="9">
        <f t="shared" si="49"/>
        <v>0</v>
      </c>
    </row>
    <row r="1566" spans="12:13" x14ac:dyDescent="0.25">
      <c r="L1566" s="9" t="str">
        <f t="shared" si="48"/>
        <v>#N/A</v>
      </c>
      <c r="M1566" s="9">
        <f t="shared" si="49"/>
        <v>0</v>
      </c>
    </row>
    <row r="1567" spans="12:13" x14ac:dyDescent="0.25">
      <c r="L1567" s="9" t="str">
        <f t="shared" si="48"/>
        <v>#N/A</v>
      </c>
      <c r="M1567" s="9">
        <f t="shared" si="49"/>
        <v>0</v>
      </c>
    </row>
    <row r="1568" spans="12:13" x14ac:dyDescent="0.25">
      <c r="L1568" s="9" t="str">
        <f t="shared" si="48"/>
        <v>#N/A</v>
      </c>
      <c r="M1568" s="9">
        <f t="shared" si="49"/>
        <v>0</v>
      </c>
    </row>
    <row r="1569" spans="12:13" x14ac:dyDescent="0.25">
      <c r="L1569" s="9" t="str">
        <f t="shared" si="48"/>
        <v>#N/A</v>
      </c>
      <c r="M1569" s="9">
        <f t="shared" si="49"/>
        <v>0</v>
      </c>
    </row>
    <row r="1570" spans="12:13" x14ac:dyDescent="0.25">
      <c r="L1570" s="9" t="str">
        <f t="shared" si="48"/>
        <v>#N/A</v>
      </c>
      <c r="M1570" s="9">
        <f t="shared" si="49"/>
        <v>0</v>
      </c>
    </row>
    <row r="1571" spans="12:13" x14ac:dyDescent="0.25">
      <c r="L1571" s="9" t="str">
        <f t="shared" si="48"/>
        <v>#N/A</v>
      </c>
      <c r="M1571" s="9">
        <f t="shared" si="49"/>
        <v>0</v>
      </c>
    </row>
    <row r="1572" spans="12:13" x14ac:dyDescent="0.25">
      <c r="L1572" s="9" t="str">
        <f t="shared" si="48"/>
        <v>#N/A</v>
      </c>
      <c r="M1572" s="9">
        <f t="shared" si="49"/>
        <v>0</v>
      </c>
    </row>
    <row r="1573" spans="12:13" x14ac:dyDescent="0.25">
      <c r="L1573" s="9" t="str">
        <f t="shared" si="48"/>
        <v>#N/A</v>
      </c>
      <c r="M1573" s="9">
        <f t="shared" si="49"/>
        <v>0</v>
      </c>
    </row>
    <row r="1574" spans="12:13" x14ac:dyDescent="0.25">
      <c r="L1574" s="9" t="str">
        <f t="shared" si="48"/>
        <v>#N/A</v>
      </c>
      <c r="M1574" s="9">
        <f t="shared" si="49"/>
        <v>0</v>
      </c>
    </row>
    <row r="1575" spans="12:13" x14ac:dyDescent="0.25">
      <c r="L1575" s="9" t="str">
        <f t="shared" si="48"/>
        <v>#N/A</v>
      </c>
      <c r="M1575" s="9">
        <f t="shared" si="49"/>
        <v>0</v>
      </c>
    </row>
    <row r="1576" spans="12:13" x14ac:dyDescent="0.25">
      <c r="L1576" s="9" t="str">
        <f t="shared" si="48"/>
        <v>#N/A</v>
      </c>
      <c r="M1576" s="9">
        <f t="shared" si="49"/>
        <v>0</v>
      </c>
    </row>
    <row r="1577" spans="12:13" x14ac:dyDescent="0.25">
      <c r="L1577" s="9" t="str">
        <f t="shared" si="48"/>
        <v>#N/A</v>
      </c>
      <c r="M1577" s="9">
        <f t="shared" si="49"/>
        <v>0</v>
      </c>
    </row>
    <row r="1578" spans="12:13" x14ac:dyDescent="0.25">
      <c r="L1578" s="9" t="str">
        <f t="shared" si="48"/>
        <v>#N/A</v>
      </c>
      <c r="M1578" s="9">
        <f t="shared" si="49"/>
        <v>0</v>
      </c>
    </row>
    <row r="1579" spans="12:13" x14ac:dyDescent="0.25">
      <c r="L1579" s="9" t="str">
        <f t="shared" si="48"/>
        <v>#N/A</v>
      </c>
      <c r="M1579" s="9">
        <f t="shared" si="49"/>
        <v>0</v>
      </c>
    </row>
    <row r="1580" spans="12:13" x14ac:dyDescent="0.25">
      <c r="L1580" s="9" t="str">
        <f t="shared" si="48"/>
        <v>#N/A</v>
      </c>
      <c r="M1580" s="9">
        <f t="shared" si="49"/>
        <v>0</v>
      </c>
    </row>
    <row r="1581" spans="12:13" x14ac:dyDescent="0.25">
      <c r="L1581" s="9" t="str">
        <f t="shared" si="48"/>
        <v>#N/A</v>
      </c>
      <c r="M1581" s="9">
        <f t="shared" si="49"/>
        <v>0</v>
      </c>
    </row>
    <row r="1582" spans="12:13" x14ac:dyDescent="0.25">
      <c r="L1582" s="9" t="str">
        <f t="shared" si="48"/>
        <v>#N/A</v>
      </c>
      <c r="M1582" s="9">
        <f t="shared" si="49"/>
        <v>0</v>
      </c>
    </row>
    <row r="1583" spans="12:13" x14ac:dyDescent="0.25">
      <c r="L1583" s="9" t="str">
        <f t="shared" si="48"/>
        <v>#N/A</v>
      </c>
      <c r="M1583" s="9">
        <f t="shared" si="49"/>
        <v>0</v>
      </c>
    </row>
    <row r="1584" spans="12:13" x14ac:dyDescent="0.25">
      <c r="L1584" s="9" t="str">
        <f t="shared" si="48"/>
        <v>#N/A</v>
      </c>
      <c r="M1584" s="9">
        <f t="shared" si="49"/>
        <v>0</v>
      </c>
    </row>
    <row r="1585" spans="12:13" x14ac:dyDescent="0.25">
      <c r="L1585" s="9" t="str">
        <f t="shared" si="48"/>
        <v>#N/A</v>
      </c>
      <c r="M1585" s="9">
        <f t="shared" si="49"/>
        <v>0</v>
      </c>
    </row>
    <row r="1586" spans="12:13" x14ac:dyDescent="0.25">
      <c r="L1586" s="9" t="str">
        <f t="shared" si="48"/>
        <v>#N/A</v>
      </c>
      <c r="M1586" s="9">
        <f t="shared" si="49"/>
        <v>0</v>
      </c>
    </row>
    <row r="1587" spans="12:13" x14ac:dyDescent="0.25">
      <c r="L1587" s="9" t="str">
        <f t="shared" si="48"/>
        <v>#N/A</v>
      </c>
      <c r="M1587" s="9">
        <f t="shared" si="49"/>
        <v>0</v>
      </c>
    </row>
    <row r="1588" spans="12:13" x14ac:dyDescent="0.25">
      <c r="L1588" s="9" t="str">
        <f t="shared" si="48"/>
        <v>#N/A</v>
      </c>
      <c r="M1588" s="9">
        <f t="shared" si="49"/>
        <v>0</v>
      </c>
    </row>
    <row r="1589" spans="12:13" x14ac:dyDescent="0.25">
      <c r="L1589" s="9" t="str">
        <f t="shared" si="48"/>
        <v>#N/A</v>
      </c>
      <c r="M1589" s="9">
        <f t="shared" si="49"/>
        <v>0</v>
      </c>
    </row>
    <row r="1590" spans="12:13" x14ac:dyDescent="0.25">
      <c r="L1590" s="9" t="str">
        <f t="shared" si="48"/>
        <v>#N/A</v>
      </c>
      <c r="M1590" s="9">
        <f t="shared" si="49"/>
        <v>0</v>
      </c>
    </row>
    <row r="1591" spans="12:13" x14ac:dyDescent="0.25">
      <c r="L1591" s="9" t="str">
        <f t="shared" si="48"/>
        <v>#N/A</v>
      </c>
      <c r="M1591" s="9">
        <f t="shared" si="49"/>
        <v>0</v>
      </c>
    </row>
    <row r="1592" spans="12:13" x14ac:dyDescent="0.25">
      <c r="L1592" s="9" t="str">
        <f t="shared" si="48"/>
        <v>#N/A</v>
      </c>
      <c r="M1592" s="9">
        <f t="shared" si="49"/>
        <v>0</v>
      </c>
    </row>
    <row r="1593" spans="12:13" x14ac:dyDescent="0.25">
      <c r="L1593" s="9" t="str">
        <f t="shared" si="48"/>
        <v>#N/A</v>
      </c>
      <c r="M1593" s="9">
        <f t="shared" si="49"/>
        <v>0</v>
      </c>
    </row>
    <row r="1594" spans="12:13" x14ac:dyDescent="0.25">
      <c r="L1594" s="9" t="str">
        <f t="shared" si="48"/>
        <v>#N/A</v>
      </c>
      <c r="M1594" s="9">
        <f t="shared" si="49"/>
        <v>0</v>
      </c>
    </row>
    <row r="1595" spans="12:13" x14ac:dyDescent="0.25">
      <c r="L1595" s="9" t="str">
        <f t="shared" si="48"/>
        <v>#N/A</v>
      </c>
      <c r="M1595" s="9">
        <f t="shared" si="49"/>
        <v>0</v>
      </c>
    </row>
    <row r="1596" spans="12:13" x14ac:dyDescent="0.25">
      <c r="L1596" s="9" t="str">
        <f t="shared" si="48"/>
        <v>#N/A</v>
      </c>
      <c r="M1596" s="9">
        <f t="shared" si="49"/>
        <v>0</v>
      </c>
    </row>
    <row r="1597" spans="12:13" x14ac:dyDescent="0.25">
      <c r="L1597" s="9" t="str">
        <f t="shared" si="48"/>
        <v>#N/A</v>
      </c>
      <c r="M1597" s="9">
        <f t="shared" si="49"/>
        <v>0</v>
      </c>
    </row>
    <row r="1598" spans="12:13" x14ac:dyDescent="0.25">
      <c r="L1598" s="9" t="str">
        <f t="shared" si="48"/>
        <v>#N/A</v>
      </c>
      <c r="M1598" s="9">
        <f t="shared" si="49"/>
        <v>0</v>
      </c>
    </row>
    <row r="1599" spans="12:13" x14ac:dyDescent="0.25">
      <c r="L1599" s="9" t="str">
        <f t="shared" si="48"/>
        <v>#N/A</v>
      </c>
      <c r="M1599" s="9">
        <f t="shared" si="49"/>
        <v>0</v>
      </c>
    </row>
    <row r="1600" spans="12:13" x14ac:dyDescent="0.25">
      <c r="L1600" s="9" t="str">
        <f t="shared" si="48"/>
        <v>#N/A</v>
      </c>
      <c r="M1600" s="9">
        <f t="shared" si="49"/>
        <v>0</v>
      </c>
    </row>
    <row r="1601" spans="12:13" x14ac:dyDescent="0.25">
      <c r="L1601" s="9" t="str">
        <f t="shared" si="48"/>
        <v>#N/A</v>
      </c>
      <c r="M1601" s="9">
        <f t="shared" si="49"/>
        <v>0</v>
      </c>
    </row>
    <row r="1602" spans="12:13" x14ac:dyDescent="0.25">
      <c r="L1602" s="9" t="str">
        <f t="shared" ref="L1602:L1665" si="50">IF((D1602^2+(B1602*$K$2)^2)&gt;0,1/(D1602^2+(B1602*$K$2)^2),"#N/A")</f>
        <v>#N/A</v>
      </c>
      <c r="M1602" s="9">
        <f t="shared" si="49"/>
        <v>0</v>
      </c>
    </row>
    <row r="1603" spans="12:13" x14ac:dyDescent="0.25">
      <c r="L1603" s="9" t="str">
        <f t="shared" si="50"/>
        <v>#N/A</v>
      </c>
      <c r="M1603" s="9">
        <f t="shared" ref="M1603:M1666" si="51">IF(B1603*$K$2&gt;D1603*10,1,0)</f>
        <v>0</v>
      </c>
    </row>
    <row r="1604" spans="12:13" x14ac:dyDescent="0.25">
      <c r="L1604" s="9" t="str">
        <f t="shared" si="50"/>
        <v>#N/A</v>
      </c>
      <c r="M1604" s="9">
        <f t="shared" si="51"/>
        <v>0</v>
      </c>
    </row>
    <row r="1605" spans="12:13" x14ac:dyDescent="0.25">
      <c r="L1605" s="9" t="str">
        <f t="shared" si="50"/>
        <v>#N/A</v>
      </c>
      <c r="M1605" s="9">
        <f t="shared" si="51"/>
        <v>0</v>
      </c>
    </row>
    <row r="1606" spans="12:13" x14ac:dyDescent="0.25">
      <c r="L1606" s="9" t="str">
        <f t="shared" si="50"/>
        <v>#N/A</v>
      </c>
      <c r="M1606" s="9">
        <f t="shared" si="51"/>
        <v>0</v>
      </c>
    </row>
    <row r="1607" spans="12:13" x14ac:dyDescent="0.25">
      <c r="L1607" s="9" t="str">
        <f t="shared" si="50"/>
        <v>#N/A</v>
      </c>
      <c r="M1607" s="9">
        <f t="shared" si="51"/>
        <v>0</v>
      </c>
    </row>
    <row r="1608" spans="12:13" x14ac:dyDescent="0.25">
      <c r="L1608" s="9" t="str">
        <f t="shared" si="50"/>
        <v>#N/A</v>
      </c>
      <c r="M1608" s="9">
        <f t="shared" si="51"/>
        <v>0</v>
      </c>
    </row>
    <row r="1609" spans="12:13" x14ac:dyDescent="0.25">
      <c r="L1609" s="9" t="str">
        <f t="shared" si="50"/>
        <v>#N/A</v>
      </c>
      <c r="M1609" s="9">
        <f t="shared" si="51"/>
        <v>0</v>
      </c>
    </row>
    <row r="1610" spans="12:13" x14ac:dyDescent="0.25">
      <c r="L1610" s="9" t="str">
        <f t="shared" si="50"/>
        <v>#N/A</v>
      </c>
      <c r="M1610" s="9">
        <f t="shared" si="51"/>
        <v>0</v>
      </c>
    </row>
    <row r="1611" spans="12:13" x14ac:dyDescent="0.25">
      <c r="L1611" s="9" t="str">
        <f t="shared" si="50"/>
        <v>#N/A</v>
      </c>
      <c r="M1611" s="9">
        <f t="shared" si="51"/>
        <v>0</v>
      </c>
    </row>
    <row r="1612" spans="12:13" x14ac:dyDescent="0.25">
      <c r="L1612" s="9" t="str">
        <f t="shared" si="50"/>
        <v>#N/A</v>
      </c>
      <c r="M1612" s="9">
        <f t="shared" si="51"/>
        <v>0</v>
      </c>
    </row>
    <row r="1613" spans="12:13" x14ac:dyDescent="0.25">
      <c r="L1613" s="9" t="str">
        <f t="shared" si="50"/>
        <v>#N/A</v>
      </c>
      <c r="M1613" s="9">
        <f t="shared" si="51"/>
        <v>0</v>
      </c>
    </row>
    <row r="1614" spans="12:13" x14ac:dyDescent="0.25">
      <c r="L1614" s="9" t="str">
        <f t="shared" si="50"/>
        <v>#N/A</v>
      </c>
      <c r="M1614" s="9">
        <f t="shared" si="51"/>
        <v>0</v>
      </c>
    </row>
    <row r="1615" spans="12:13" x14ac:dyDescent="0.25">
      <c r="L1615" s="9" t="str">
        <f t="shared" si="50"/>
        <v>#N/A</v>
      </c>
      <c r="M1615" s="9">
        <f t="shared" si="51"/>
        <v>0</v>
      </c>
    </row>
    <row r="1616" spans="12:13" x14ac:dyDescent="0.25">
      <c r="L1616" s="9" t="str">
        <f t="shared" si="50"/>
        <v>#N/A</v>
      </c>
      <c r="M1616" s="9">
        <f t="shared" si="51"/>
        <v>0</v>
      </c>
    </row>
    <row r="1617" spans="12:13" x14ac:dyDescent="0.25">
      <c r="L1617" s="9" t="str">
        <f t="shared" si="50"/>
        <v>#N/A</v>
      </c>
      <c r="M1617" s="9">
        <f t="shared" si="51"/>
        <v>0</v>
      </c>
    </row>
    <row r="1618" spans="12:13" x14ac:dyDescent="0.25">
      <c r="L1618" s="9" t="str">
        <f t="shared" si="50"/>
        <v>#N/A</v>
      </c>
      <c r="M1618" s="9">
        <f t="shared" si="51"/>
        <v>0</v>
      </c>
    </row>
    <row r="1619" spans="12:13" x14ac:dyDescent="0.25">
      <c r="L1619" s="9" t="str">
        <f t="shared" si="50"/>
        <v>#N/A</v>
      </c>
      <c r="M1619" s="9">
        <f t="shared" si="51"/>
        <v>0</v>
      </c>
    </row>
    <row r="1620" spans="12:13" x14ac:dyDescent="0.25">
      <c r="L1620" s="9" t="str">
        <f t="shared" si="50"/>
        <v>#N/A</v>
      </c>
      <c r="M1620" s="9">
        <f t="shared" si="51"/>
        <v>0</v>
      </c>
    </row>
    <row r="1621" spans="12:13" x14ac:dyDescent="0.25">
      <c r="L1621" s="9" t="str">
        <f t="shared" si="50"/>
        <v>#N/A</v>
      </c>
      <c r="M1621" s="9">
        <f t="shared" si="51"/>
        <v>0</v>
      </c>
    </row>
    <row r="1622" spans="12:13" x14ac:dyDescent="0.25">
      <c r="L1622" s="9" t="str">
        <f t="shared" si="50"/>
        <v>#N/A</v>
      </c>
      <c r="M1622" s="9">
        <f t="shared" si="51"/>
        <v>0</v>
      </c>
    </row>
    <row r="1623" spans="12:13" x14ac:dyDescent="0.25">
      <c r="L1623" s="9" t="str">
        <f t="shared" si="50"/>
        <v>#N/A</v>
      </c>
      <c r="M1623" s="9">
        <f t="shared" si="51"/>
        <v>0</v>
      </c>
    </row>
    <row r="1624" spans="12:13" x14ac:dyDescent="0.25">
      <c r="L1624" s="9" t="str">
        <f t="shared" si="50"/>
        <v>#N/A</v>
      </c>
      <c r="M1624" s="9">
        <f t="shared" si="51"/>
        <v>0</v>
      </c>
    </row>
    <row r="1625" spans="12:13" x14ac:dyDescent="0.25">
      <c r="L1625" s="9" t="str">
        <f t="shared" si="50"/>
        <v>#N/A</v>
      </c>
      <c r="M1625" s="9">
        <f t="shared" si="51"/>
        <v>0</v>
      </c>
    </row>
    <row r="1626" spans="12:13" x14ac:dyDescent="0.25">
      <c r="L1626" s="9" t="str">
        <f t="shared" si="50"/>
        <v>#N/A</v>
      </c>
      <c r="M1626" s="9">
        <f t="shared" si="51"/>
        <v>0</v>
      </c>
    </row>
    <row r="1627" spans="12:13" x14ac:dyDescent="0.25">
      <c r="L1627" s="9" t="str">
        <f t="shared" si="50"/>
        <v>#N/A</v>
      </c>
      <c r="M1627" s="9">
        <f t="shared" si="51"/>
        <v>0</v>
      </c>
    </row>
    <row r="1628" spans="12:13" x14ac:dyDescent="0.25">
      <c r="L1628" s="9" t="str">
        <f t="shared" si="50"/>
        <v>#N/A</v>
      </c>
      <c r="M1628" s="9">
        <f t="shared" si="51"/>
        <v>0</v>
      </c>
    </row>
    <row r="1629" spans="12:13" x14ac:dyDescent="0.25">
      <c r="L1629" s="9" t="str">
        <f t="shared" si="50"/>
        <v>#N/A</v>
      </c>
      <c r="M1629" s="9">
        <f t="shared" si="51"/>
        <v>0</v>
      </c>
    </row>
    <row r="1630" spans="12:13" x14ac:dyDescent="0.25">
      <c r="L1630" s="9" t="str">
        <f t="shared" si="50"/>
        <v>#N/A</v>
      </c>
      <c r="M1630" s="9">
        <f t="shared" si="51"/>
        <v>0</v>
      </c>
    </row>
    <row r="1631" spans="12:13" x14ac:dyDescent="0.25">
      <c r="L1631" s="9" t="str">
        <f t="shared" si="50"/>
        <v>#N/A</v>
      </c>
      <c r="M1631" s="9">
        <f t="shared" si="51"/>
        <v>0</v>
      </c>
    </row>
    <row r="1632" spans="12:13" x14ac:dyDescent="0.25">
      <c r="L1632" s="9" t="str">
        <f t="shared" si="50"/>
        <v>#N/A</v>
      </c>
      <c r="M1632" s="9">
        <f t="shared" si="51"/>
        <v>0</v>
      </c>
    </row>
    <row r="1633" spans="12:13" x14ac:dyDescent="0.25">
      <c r="L1633" s="9" t="str">
        <f t="shared" si="50"/>
        <v>#N/A</v>
      </c>
      <c r="M1633" s="9">
        <f t="shared" si="51"/>
        <v>0</v>
      </c>
    </row>
    <row r="1634" spans="12:13" x14ac:dyDescent="0.25">
      <c r="L1634" s="9" t="str">
        <f t="shared" si="50"/>
        <v>#N/A</v>
      </c>
      <c r="M1634" s="9">
        <f t="shared" si="51"/>
        <v>0</v>
      </c>
    </row>
    <row r="1635" spans="12:13" x14ac:dyDescent="0.25">
      <c r="L1635" s="9" t="str">
        <f t="shared" si="50"/>
        <v>#N/A</v>
      </c>
      <c r="M1635" s="9">
        <f t="shared" si="51"/>
        <v>0</v>
      </c>
    </row>
    <row r="1636" spans="12:13" x14ac:dyDescent="0.25">
      <c r="L1636" s="9" t="str">
        <f t="shared" si="50"/>
        <v>#N/A</v>
      </c>
      <c r="M1636" s="9">
        <f t="shared" si="51"/>
        <v>0</v>
      </c>
    </row>
    <row r="1637" spans="12:13" x14ac:dyDescent="0.25">
      <c r="L1637" s="9" t="str">
        <f t="shared" si="50"/>
        <v>#N/A</v>
      </c>
      <c r="M1637" s="9">
        <f t="shared" si="51"/>
        <v>0</v>
      </c>
    </row>
    <row r="1638" spans="12:13" x14ac:dyDescent="0.25">
      <c r="L1638" s="9" t="str">
        <f t="shared" si="50"/>
        <v>#N/A</v>
      </c>
      <c r="M1638" s="9">
        <f t="shared" si="51"/>
        <v>0</v>
      </c>
    </row>
    <row r="1639" spans="12:13" x14ac:dyDescent="0.25">
      <c r="L1639" s="9" t="str">
        <f t="shared" si="50"/>
        <v>#N/A</v>
      </c>
      <c r="M1639" s="9">
        <f t="shared" si="51"/>
        <v>0</v>
      </c>
    </row>
    <row r="1640" spans="12:13" x14ac:dyDescent="0.25">
      <c r="L1640" s="9" t="str">
        <f t="shared" si="50"/>
        <v>#N/A</v>
      </c>
      <c r="M1640" s="9">
        <f t="shared" si="51"/>
        <v>0</v>
      </c>
    </row>
    <row r="1641" spans="12:13" x14ac:dyDescent="0.25">
      <c r="L1641" s="9" t="str">
        <f t="shared" si="50"/>
        <v>#N/A</v>
      </c>
      <c r="M1641" s="9">
        <f t="shared" si="51"/>
        <v>0</v>
      </c>
    </row>
    <row r="1642" spans="12:13" x14ac:dyDescent="0.25">
      <c r="L1642" s="9" t="str">
        <f t="shared" si="50"/>
        <v>#N/A</v>
      </c>
      <c r="M1642" s="9">
        <f t="shared" si="51"/>
        <v>0</v>
      </c>
    </row>
    <row r="1643" spans="12:13" x14ac:dyDescent="0.25">
      <c r="L1643" s="9" t="str">
        <f t="shared" si="50"/>
        <v>#N/A</v>
      </c>
      <c r="M1643" s="9">
        <f t="shared" si="51"/>
        <v>0</v>
      </c>
    </row>
    <row r="1644" spans="12:13" x14ac:dyDescent="0.25">
      <c r="L1644" s="9" t="str">
        <f t="shared" si="50"/>
        <v>#N/A</v>
      </c>
      <c r="M1644" s="9">
        <f t="shared" si="51"/>
        <v>0</v>
      </c>
    </row>
    <row r="1645" spans="12:13" x14ac:dyDescent="0.25">
      <c r="L1645" s="9" t="str">
        <f t="shared" si="50"/>
        <v>#N/A</v>
      </c>
      <c r="M1645" s="9">
        <f t="shared" si="51"/>
        <v>0</v>
      </c>
    </row>
    <row r="1646" spans="12:13" x14ac:dyDescent="0.25">
      <c r="L1646" s="9" t="str">
        <f t="shared" si="50"/>
        <v>#N/A</v>
      </c>
      <c r="M1646" s="9">
        <f t="shared" si="51"/>
        <v>0</v>
      </c>
    </row>
    <row r="1647" spans="12:13" x14ac:dyDescent="0.25">
      <c r="L1647" s="9" t="str">
        <f t="shared" si="50"/>
        <v>#N/A</v>
      </c>
      <c r="M1647" s="9">
        <f t="shared" si="51"/>
        <v>0</v>
      </c>
    </row>
    <row r="1648" spans="12:13" x14ac:dyDescent="0.25">
      <c r="L1648" s="9" t="str">
        <f t="shared" si="50"/>
        <v>#N/A</v>
      </c>
      <c r="M1648" s="9">
        <f t="shared" si="51"/>
        <v>0</v>
      </c>
    </row>
    <row r="1649" spans="12:13" x14ac:dyDescent="0.25">
      <c r="L1649" s="9" t="str">
        <f t="shared" si="50"/>
        <v>#N/A</v>
      </c>
      <c r="M1649" s="9">
        <f t="shared" si="51"/>
        <v>0</v>
      </c>
    </row>
    <row r="1650" spans="12:13" x14ac:dyDescent="0.25">
      <c r="L1650" s="9" t="str">
        <f t="shared" si="50"/>
        <v>#N/A</v>
      </c>
      <c r="M1650" s="9">
        <f t="shared" si="51"/>
        <v>0</v>
      </c>
    </row>
    <row r="1651" spans="12:13" x14ac:dyDescent="0.25">
      <c r="L1651" s="9" t="str">
        <f t="shared" si="50"/>
        <v>#N/A</v>
      </c>
      <c r="M1651" s="9">
        <f t="shared" si="51"/>
        <v>0</v>
      </c>
    </row>
    <row r="1652" spans="12:13" x14ac:dyDescent="0.25">
      <c r="L1652" s="9" t="str">
        <f t="shared" si="50"/>
        <v>#N/A</v>
      </c>
      <c r="M1652" s="9">
        <f t="shared" si="51"/>
        <v>0</v>
      </c>
    </row>
    <row r="1653" spans="12:13" x14ac:dyDescent="0.25">
      <c r="L1653" s="9" t="str">
        <f t="shared" si="50"/>
        <v>#N/A</v>
      </c>
      <c r="M1653" s="9">
        <f t="shared" si="51"/>
        <v>0</v>
      </c>
    </row>
    <row r="1654" spans="12:13" x14ac:dyDescent="0.25">
      <c r="L1654" s="9" t="str">
        <f t="shared" si="50"/>
        <v>#N/A</v>
      </c>
      <c r="M1654" s="9">
        <f t="shared" si="51"/>
        <v>0</v>
      </c>
    </row>
    <row r="1655" spans="12:13" x14ac:dyDescent="0.25">
      <c r="L1655" s="9" t="str">
        <f t="shared" si="50"/>
        <v>#N/A</v>
      </c>
      <c r="M1655" s="9">
        <f t="shared" si="51"/>
        <v>0</v>
      </c>
    </row>
    <row r="1656" spans="12:13" x14ac:dyDescent="0.25">
      <c r="L1656" s="9" t="str">
        <f t="shared" si="50"/>
        <v>#N/A</v>
      </c>
      <c r="M1656" s="9">
        <f t="shared" si="51"/>
        <v>0</v>
      </c>
    </row>
    <row r="1657" spans="12:13" x14ac:dyDescent="0.25">
      <c r="L1657" s="9" t="str">
        <f t="shared" si="50"/>
        <v>#N/A</v>
      </c>
      <c r="M1657" s="9">
        <f t="shared" si="51"/>
        <v>0</v>
      </c>
    </row>
    <row r="1658" spans="12:13" x14ac:dyDescent="0.25">
      <c r="L1658" s="9" t="str">
        <f t="shared" si="50"/>
        <v>#N/A</v>
      </c>
      <c r="M1658" s="9">
        <f t="shared" si="51"/>
        <v>0</v>
      </c>
    </row>
    <row r="1659" spans="12:13" x14ac:dyDescent="0.25">
      <c r="L1659" s="9" t="str">
        <f t="shared" si="50"/>
        <v>#N/A</v>
      </c>
      <c r="M1659" s="9">
        <f t="shared" si="51"/>
        <v>0</v>
      </c>
    </row>
    <row r="1660" spans="12:13" x14ac:dyDescent="0.25">
      <c r="L1660" s="9" t="str">
        <f t="shared" si="50"/>
        <v>#N/A</v>
      </c>
      <c r="M1660" s="9">
        <f t="shared" si="51"/>
        <v>0</v>
      </c>
    </row>
    <row r="1661" spans="12:13" x14ac:dyDescent="0.25">
      <c r="L1661" s="9" t="str">
        <f t="shared" si="50"/>
        <v>#N/A</v>
      </c>
      <c r="M1661" s="9">
        <f t="shared" si="51"/>
        <v>0</v>
      </c>
    </row>
    <row r="1662" spans="12:13" x14ac:dyDescent="0.25">
      <c r="L1662" s="9" t="str">
        <f t="shared" si="50"/>
        <v>#N/A</v>
      </c>
      <c r="M1662" s="9">
        <f t="shared" si="51"/>
        <v>0</v>
      </c>
    </row>
    <row r="1663" spans="12:13" x14ac:dyDescent="0.25">
      <c r="L1663" s="9" t="str">
        <f t="shared" si="50"/>
        <v>#N/A</v>
      </c>
      <c r="M1663" s="9">
        <f t="shared" si="51"/>
        <v>0</v>
      </c>
    </row>
    <row r="1664" spans="12:13" x14ac:dyDescent="0.25">
      <c r="L1664" s="9" t="str">
        <f t="shared" si="50"/>
        <v>#N/A</v>
      </c>
      <c r="M1664" s="9">
        <f t="shared" si="51"/>
        <v>0</v>
      </c>
    </row>
    <row r="1665" spans="12:13" x14ac:dyDescent="0.25">
      <c r="L1665" s="9" t="str">
        <f t="shared" si="50"/>
        <v>#N/A</v>
      </c>
      <c r="M1665" s="9">
        <f t="shared" si="51"/>
        <v>0</v>
      </c>
    </row>
    <row r="1666" spans="12:13" x14ac:dyDescent="0.25">
      <c r="L1666" s="9" t="str">
        <f t="shared" ref="L1666:L1729" si="52">IF((D1666^2+(B1666*$K$2)^2)&gt;0,1/(D1666^2+(B1666*$K$2)^2),"#N/A")</f>
        <v>#N/A</v>
      </c>
      <c r="M1666" s="9">
        <f t="shared" si="51"/>
        <v>0</v>
      </c>
    </row>
    <row r="1667" spans="12:13" x14ac:dyDescent="0.25">
      <c r="L1667" s="9" t="str">
        <f t="shared" si="52"/>
        <v>#N/A</v>
      </c>
      <c r="M1667" s="9">
        <f t="shared" ref="M1667:M1730" si="53">IF(B1667*$K$2&gt;D1667*10,1,0)</f>
        <v>0</v>
      </c>
    </row>
    <row r="1668" spans="12:13" x14ac:dyDescent="0.25">
      <c r="L1668" s="9" t="str">
        <f t="shared" si="52"/>
        <v>#N/A</v>
      </c>
      <c r="M1668" s="9">
        <f t="shared" si="53"/>
        <v>0</v>
      </c>
    </row>
    <row r="1669" spans="12:13" x14ac:dyDescent="0.25">
      <c r="L1669" s="9" t="str">
        <f t="shared" si="52"/>
        <v>#N/A</v>
      </c>
      <c r="M1669" s="9">
        <f t="shared" si="53"/>
        <v>0</v>
      </c>
    </row>
    <row r="1670" spans="12:13" x14ac:dyDescent="0.25">
      <c r="L1670" s="9" t="str">
        <f t="shared" si="52"/>
        <v>#N/A</v>
      </c>
      <c r="M1670" s="9">
        <f t="shared" si="53"/>
        <v>0</v>
      </c>
    </row>
    <row r="1671" spans="12:13" x14ac:dyDescent="0.25">
      <c r="L1671" s="9" t="str">
        <f t="shared" si="52"/>
        <v>#N/A</v>
      </c>
      <c r="M1671" s="9">
        <f t="shared" si="53"/>
        <v>0</v>
      </c>
    </row>
    <row r="1672" spans="12:13" x14ac:dyDescent="0.25">
      <c r="L1672" s="9" t="str">
        <f t="shared" si="52"/>
        <v>#N/A</v>
      </c>
      <c r="M1672" s="9">
        <f t="shared" si="53"/>
        <v>0</v>
      </c>
    </row>
    <row r="1673" spans="12:13" x14ac:dyDescent="0.25">
      <c r="L1673" s="9" t="str">
        <f t="shared" si="52"/>
        <v>#N/A</v>
      </c>
      <c r="M1673" s="9">
        <f t="shared" si="53"/>
        <v>0</v>
      </c>
    </row>
    <row r="1674" spans="12:13" x14ac:dyDescent="0.25">
      <c r="L1674" s="9" t="str">
        <f t="shared" si="52"/>
        <v>#N/A</v>
      </c>
      <c r="M1674" s="9">
        <f t="shared" si="53"/>
        <v>0</v>
      </c>
    </row>
    <row r="1675" spans="12:13" x14ac:dyDescent="0.25">
      <c r="L1675" s="9" t="str">
        <f t="shared" si="52"/>
        <v>#N/A</v>
      </c>
      <c r="M1675" s="9">
        <f t="shared" si="53"/>
        <v>0</v>
      </c>
    </row>
    <row r="1676" spans="12:13" x14ac:dyDescent="0.25">
      <c r="L1676" s="9" t="str">
        <f t="shared" si="52"/>
        <v>#N/A</v>
      </c>
      <c r="M1676" s="9">
        <f t="shared" si="53"/>
        <v>0</v>
      </c>
    </row>
    <row r="1677" spans="12:13" x14ac:dyDescent="0.25">
      <c r="L1677" s="9" t="str">
        <f t="shared" si="52"/>
        <v>#N/A</v>
      </c>
      <c r="M1677" s="9">
        <f t="shared" si="53"/>
        <v>0</v>
      </c>
    </row>
    <row r="1678" spans="12:13" x14ac:dyDescent="0.25">
      <c r="L1678" s="9" t="str">
        <f t="shared" si="52"/>
        <v>#N/A</v>
      </c>
      <c r="M1678" s="9">
        <f t="shared" si="53"/>
        <v>0</v>
      </c>
    </row>
    <row r="1679" spans="12:13" x14ac:dyDescent="0.25">
      <c r="L1679" s="9" t="str">
        <f t="shared" si="52"/>
        <v>#N/A</v>
      </c>
      <c r="M1679" s="9">
        <f t="shared" si="53"/>
        <v>0</v>
      </c>
    </row>
    <row r="1680" spans="12:13" x14ac:dyDescent="0.25">
      <c r="L1680" s="9" t="str">
        <f t="shared" si="52"/>
        <v>#N/A</v>
      </c>
      <c r="M1680" s="9">
        <f t="shared" si="53"/>
        <v>0</v>
      </c>
    </row>
    <row r="1681" spans="12:13" x14ac:dyDescent="0.25">
      <c r="L1681" s="9" t="str">
        <f t="shared" si="52"/>
        <v>#N/A</v>
      </c>
      <c r="M1681" s="9">
        <f t="shared" si="53"/>
        <v>0</v>
      </c>
    </row>
    <row r="1682" spans="12:13" x14ac:dyDescent="0.25">
      <c r="L1682" s="9" t="str">
        <f t="shared" si="52"/>
        <v>#N/A</v>
      </c>
      <c r="M1682" s="9">
        <f t="shared" si="53"/>
        <v>0</v>
      </c>
    </row>
    <row r="1683" spans="12:13" x14ac:dyDescent="0.25">
      <c r="L1683" s="9" t="str">
        <f t="shared" si="52"/>
        <v>#N/A</v>
      </c>
      <c r="M1683" s="9">
        <f t="shared" si="53"/>
        <v>0</v>
      </c>
    </row>
    <row r="1684" spans="12:13" x14ac:dyDescent="0.25">
      <c r="L1684" s="9" t="str">
        <f t="shared" si="52"/>
        <v>#N/A</v>
      </c>
      <c r="M1684" s="9">
        <f t="shared" si="53"/>
        <v>0</v>
      </c>
    </row>
    <row r="1685" spans="12:13" x14ac:dyDescent="0.25">
      <c r="L1685" s="9" t="str">
        <f t="shared" si="52"/>
        <v>#N/A</v>
      </c>
      <c r="M1685" s="9">
        <f t="shared" si="53"/>
        <v>0</v>
      </c>
    </row>
    <row r="1686" spans="12:13" x14ac:dyDescent="0.25">
      <c r="L1686" s="9" t="str">
        <f t="shared" si="52"/>
        <v>#N/A</v>
      </c>
      <c r="M1686" s="9">
        <f t="shared" si="53"/>
        <v>0</v>
      </c>
    </row>
    <row r="1687" spans="12:13" x14ac:dyDescent="0.25">
      <c r="L1687" s="9" t="str">
        <f t="shared" si="52"/>
        <v>#N/A</v>
      </c>
      <c r="M1687" s="9">
        <f t="shared" si="53"/>
        <v>0</v>
      </c>
    </row>
    <row r="1688" spans="12:13" x14ac:dyDescent="0.25">
      <c r="L1688" s="9" t="str">
        <f t="shared" si="52"/>
        <v>#N/A</v>
      </c>
      <c r="M1688" s="9">
        <f t="shared" si="53"/>
        <v>0</v>
      </c>
    </row>
    <row r="1689" spans="12:13" x14ac:dyDescent="0.25">
      <c r="L1689" s="9" t="str">
        <f t="shared" si="52"/>
        <v>#N/A</v>
      </c>
      <c r="M1689" s="9">
        <f t="shared" si="53"/>
        <v>0</v>
      </c>
    </row>
    <row r="1690" spans="12:13" x14ac:dyDescent="0.25">
      <c r="L1690" s="9" t="str">
        <f t="shared" si="52"/>
        <v>#N/A</v>
      </c>
      <c r="M1690" s="9">
        <f t="shared" si="53"/>
        <v>0</v>
      </c>
    </row>
    <row r="1691" spans="12:13" x14ac:dyDescent="0.25">
      <c r="L1691" s="9" t="str">
        <f t="shared" si="52"/>
        <v>#N/A</v>
      </c>
      <c r="M1691" s="9">
        <f t="shared" si="53"/>
        <v>0</v>
      </c>
    </row>
    <row r="1692" spans="12:13" x14ac:dyDescent="0.25">
      <c r="L1692" s="9" t="str">
        <f t="shared" si="52"/>
        <v>#N/A</v>
      </c>
      <c r="M1692" s="9">
        <f t="shared" si="53"/>
        <v>0</v>
      </c>
    </row>
    <row r="1693" spans="12:13" x14ac:dyDescent="0.25">
      <c r="L1693" s="9" t="str">
        <f t="shared" si="52"/>
        <v>#N/A</v>
      </c>
      <c r="M1693" s="9">
        <f t="shared" si="53"/>
        <v>0</v>
      </c>
    </row>
    <row r="1694" spans="12:13" x14ac:dyDescent="0.25">
      <c r="L1694" s="9" t="str">
        <f t="shared" si="52"/>
        <v>#N/A</v>
      </c>
      <c r="M1694" s="9">
        <f t="shared" si="53"/>
        <v>0</v>
      </c>
    </row>
    <row r="1695" spans="12:13" x14ac:dyDescent="0.25">
      <c r="L1695" s="9" t="str">
        <f t="shared" si="52"/>
        <v>#N/A</v>
      </c>
      <c r="M1695" s="9">
        <f t="shared" si="53"/>
        <v>0</v>
      </c>
    </row>
    <row r="1696" spans="12:13" x14ac:dyDescent="0.25">
      <c r="L1696" s="9" t="str">
        <f t="shared" si="52"/>
        <v>#N/A</v>
      </c>
      <c r="M1696" s="9">
        <f t="shared" si="53"/>
        <v>0</v>
      </c>
    </row>
    <row r="1697" spans="12:13" x14ac:dyDescent="0.25">
      <c r="L1697" s="9" t="str">
        <f t="shared" si="52"/>
        <v>#N/A</v>
      </c>
      <c r="M1697" s="9">
        <f t="shared" si="53"/>
        <v>0</v>
      </c>
    </row>
    <row r="1698" spans="12:13" x14ac:dyDescent="0.25">
      <c r="L1698" s="9" t="str">
        <f t="shared" si="52"/>
        <v>#N/A</v>
      </c>
      <c r="M1698" s="9">
        <f t="shared" si="53"/>
        <v>0</v>
      </c>
    </row>
    <row r="1699" spans="12:13" x14ac:dyDescent="0.25">
      <c r="L1699" s="9" t="str">
        <f t="shared" si="52"/>
        <v>#N/A</v>
      </c>
      <c r="M1699" s="9">
        <f t="shared" si="53"/>
        <v>0</v>
      </c>
    </row>
    <row r="1700" spans="12:13" x14ac:dyDescent="0.25">
      <c r="L1700" s="9" t="str">
        <f t="shared" si="52"/>
        <v>#N/A</v>
      </c>
      <c r="M1700" s="9">
        <f t="shared" si="53"/>
        <v>0</v>
      </c>
    </row>
    <row r="1701" spans="12:13" x14ac:dyDescent="0.25">
      <c r="L1701" s="9" t="str">
        <f t="shared" si="52"/>
        <v>#N/A</v>
      </c>
      <c r="M1701" s="9">
        <f t="shared" si="53"/>
        <v>0</v>
      </c>
    </row>
    <row r="1702" spans="12:13" x14ac:dyDescent="0.25">
      <c r="L1702" s="9" t="str">
        <f t="shared" si="52"/>
        <v>#N/A</v>
      </c>
      <c r="M1702" s="9">
        <f t="shared" si="53"/>
        <v>0</v>
      </c>
    </row>
    <row r="1703" spans="12:13" x14ac:dyDescent="0.25">
      <c r="L1703" s="9" t="str">
        <f t="shared" si="52"/>
        <v>#N/A</v>
      </c>
      <c r="M1703" s="9">
        <f t="shared" si="53"/>
        <v>0</v>
      </c>
    </row>
    <row r="1704" spans="12:13" x14ac:dyDescent="0.25">
      <c r="L1704" s="9" t="str">
        <f t="shared" si="52"/>
        <v>#N/A</v>
      </c>
      <c r="M1704" s="9">
        <f t="shared" si="53"/>
        <v>0</v>
      </c>
    </row>
    <row r="1705" spans="12:13" x14ac:dyDescent="0.25">
      <c r="L1705" s="9" t="str">
        <f t="shared" si="52"/>
        <v>#N/A</v>
      </c>
      <c r="M1705" s="9">
        <f t="shared" si="53"/>
        <v>0</v>
      </c>
    </row>
    <row r="1706" spans="12:13" x14ac:dyDescent="0.25">
      <c r="L1706" s="9" t="str">
        <f t="shared" si="52"/>
        <v>#N/A</v>
      </c>
      <c r="M1706" s="9">
        <f t="shared" si="53"/>
        <v>0</v>
      </c>
    </row>
    <row r="1707" spans="12:13" x14ac:dyDescent="0.25">
      <c r="L1707" s="9" t="str">
        <f t="shared" si="52"/>
        <v>#N/A</v>
      </c>
      <c r="M1707" s="9">
        <f t="shared" si="53"/>
        <v>0</v>
      </c>
    </row>
    <row r="1708" spans="12:13" x14ac:dyDescent="0.25">
      <c r="L1708" s="9" t="str">
        <f t="shared" si="52"/>
        <v>#N/A</v>
      </c>
      <c r="M1708" s="9">
        <f t="shared" si="53"/>
        <v>0</v>
      </c>
    </row>
    <row r="1709" spans="12:13" x14ac:dyDescent="0.25">
      <c r="L1709" s="9" t="str">
        <f t="shared" si="52"/>
        <v>#N/A</v>
      </c>
      <c r="M1709" s="9">
        <f t="shared" si="53"/>
        <v>0</v>
      </c>
    </row>
    <row r="1710" spans="12:13" x14ac:dyDescent="0.25">
      <c r="L1710" s="9" t="str">
        <f t="shared" si="52"/>
        <v>#N/A</v>
      </c>
      <c r="M1710" s="9">
        <f t="shared" si="53"/>
        <v>0</v>
      </c>
    </row>
    <row r="1711" spans="12:13" x14ac:dyDescent="0.25">
      <c r="L1711" s="9" t="str">
        <f t="shared" si="52"/>
        <v>#N/A</v>
      </c>
      <c r="M1711" s="9">
        <f t="shared" si="53"/>
        <v>0</v>
      </c>
    </row>
    <row r="1712" spans="12:13" x14ac:dyDescent="0.25">
      <c r="L1712" s="9" t="str">
        <f t="shared" si="52"/>
        <v>#N/A</v>
      </c>
      <c r="M1712" s="9">
        <f t="shared" si="53"/>
        <v>0</v>
      </c>
    </row>
    <row r="1713" spans="12:13" x14ac:dyDescent="0.25">
      <c r="L1713" s="9" t="str">
        <f t="shared" si="52"/>
        <v>#N/A</v>
      </c>
      <c r="M1713" s="9">
        <f t="shared" si="53"/>
        <v>0</v>
      </c>
    </row>
    <row r="1714" spans="12:13" x14ac:dyDescent="0.25">
      <c r="L1714" s="9" t="str">
        <f t="shared" si="52"/>
        <v>#N/A</v>
      </c>
      <c r="M1714" s="9">
        <f t="shared" si="53"/>
        <v>0</v>
      </c>
    </row>
    <row r="1715" spans="12:13" x14ac:dyDescent="0.25">
      <c r="L1715" s="9" t="str">
        <f t="shared" si="52"/>
        <v>#N/A</v>
      </c>
      <c r="M1715" s="9">
        <f t="shared" si="53"/>
        <v>0</v>
      </c>
    </row>
    <row r="1716" spans="12:13" x14ac:dyDescent="0.25">
      <c r="L1716" s="9" t="str">
        <f t="shared" si="52"/>
        <v>#N/A</v>
      </c>
      <c r="M1716" s="9">
        <f t="shared" si="53"/>
        <v>0</v>
      </c>
    </row>
    <row r="1717" spans="12:13" x14ac:dyDescent="0.25">
      <c r="L1717" s="9" t="str">
        <f t="shared" si="52"/>
        <v>#N/A</v>
      </c>
      <c r="M1717" s="9">
        <f t="shared" si="53"/>
        <v>0</v>
      </c>
    </row>
    <row r="1718" spans="12:13" x14ac:dyDescent="0.25">
      <c r="L1718" s="9" t="str">
        <f t="shared" si="52"/>
        <v>#N/A</v>
      </c>
      <c r="M1718" s="9">
        <f t="shared" si="53"/>
        <v>0</v>
      </c>
    </row>
    <row r="1719" spans="12:13" x14ac:dyDescent="0.25">
      <c r="L1719" s="9" t="str">
        <f t="shared" si="52"/>
        <v>#N/A</v>
      </c>
      <c r="M1719" s="9">
        <f t="shared" si="53"/>
        <v>0</v>
      </c>
    </row>
    <row r="1720" spans="12:13" x14ac:dyDescent="0.25">
      <c r="L1720" s="9" t="str">
        <f t="shared" si="52"/>
        <v>#N/A</v>
      </c>
      <c r="M1720" s="9">
        <f t="shared" si="53"/>
        <v>0</v>
      </c>
    </row>
    <row r="1721" spans="12:13" x14ac:dyDescent="0.25">
      <c r="L1721" s="9" t="str">
        <f t="shared" si="52"/>
        <v>#N/A</v>
      </c>
      <c r="M1721" s="9">
        <f t="shared" si="53"/>
        <v>0</v>
      </c>
    </row>
    <row r="1722" spans="12:13" x14ac:dyDescent="0.25">
      <c r="L1722" s="9" t="str">
        <f t="shared" si="52"/>
        <v>#N/A</v>
      </c>
      <c r="M1722" s="9">
        <f t="shared" si="53"/>
        <v>0</v>
      </c>
    </row>
    <row r="1723" spans="12:13" x14ac:dyDescent="0.25">
      <c r="L1723" s="9" t="str">
        <f t="shared" si="52"/>
        <v>#N/A</v>
      </c>
      <c r="M1723" s="9">
        <f t="shared" si="53"/>
        <v>0</v>
      </c>
    </row>
    <row r="1724" spans="12:13" x14ac:dyDescent="0.25">
      <c r="L1724" s="9" t="str">
        <f t="shared" si="52"/>
        <v>#N/A</v>
      </c>
      <c r="M1724" s="9">
        <f t="shared" si="53"/>
        <v>0</v>
      </c>
    </row>
    <row r="1725" spans="12:13" x14ac:dyDescent="0.25">
      <c r="L1725" s="9" t="str">
        <f t="shared" si="52"/>
        <v>#N/A</v>
      </c>
      <c r="M1725" s="9">
        <f t="shared" si="53"/>
        <v>0</v>
      </c>
    </row>
    <row r="1726" spans="12:13" x14ac:dyDescent="0.25">
      <c r="L1726" s="9" t="str">
        <f t="shared" si="52"/>
        <v>#N/A</v>
      </c>
      <c r="M1726" s="9">
        <f t="shared" si="53"/>
        <v>0</v>
      </c>
    </row>
    <row r="1727" spans="12:13" x14ac:dyDescent="0.25">
      <c r="L1727" s="9" t="str">
        <f t="shared" si="52"/>
        <v>#N/A</v>
      </c>
      <c r="M1727" s="9">
        <f t="shared" si="53"/>
        <v>0</v>
      </c>
    </row>
    <row r="1728" spans="12:13" x14ac:dyDescent="0.25">
      <c r="L1728" s="9" t="str">
        <f t="shared" si="52"/>
        <v>#N/A</v>
      </c>
      <c r="M1728" s="9">
        <f t="shared" si="53"/>
        <v>0</v>
      </c>
    </row>
    <row r="1729" spans="12:13" x14ac:dyDescent="0.25">
      <c r="L1729" s="9" t="str">
        <f t="shared" si="52"/>
        <v>#N/A</v>
      </c>
      <c r="M1729" s="9">
        <f t="shared" si="53"/>
        <v>0</v>
      </c>
    </row>
    <row r="1730" spans="12:13" x14ac:dyDescent="0.25">
      <c r="L1730" s="9" t="str">
        <f t="shared" ref="L1730:L1793" si="54">IF((D1730^2+(B1730*$K$2)^2)&gt;0,1/(D1730^2+(B1730*$K$2)^2),"#N/A")</f>
        <v>#N/A</v>
      </c>
      <c r="M1730" s="9">
        <f t="shared" si="53"/>
        <v>0</v>
      </c>
    </row>
    <row r="1731" spans="12:13" x14ac:dyDescent="0.25">
      <c r="L1731" s="9" t="str">
        <f t="shared" si="54"/>
        <v>#N/A</v>
      </c>
      <c r="M1731" s="9">
        <f t="shared" ref="M1731:M1794" si="55">IF(B1731*$K$2&gt;D1731*10,1,0)</f>
        <v>0</v>
      </c>
    </row>
    <row r="1732" spans="12:13" x14ac:dyDescent="0.25">
      <c r="L1732" s="9" t="str">
        <f t="shared" si="54"/>
        <v>#N/A</v>
      </c>
      <c r="M1732" s="9">
        <f t="shared" si="55"/>
        <v>0</v>
      </c>
    </row>
    <row r="1733" spans="12:13" x14ac:dyDescent="0.25">
      <c r="L1733" s="9" t="str">
        <f t="shared" si="54"/>
        <v>#N/A</v>
      </c>
      <c r="M1733" s="9">
        <f t="shared" si="55"/>
        <v>0</v>
      </c>
    </row>
    <row r="1734" spans="12:13" x14ac:dyDescent="0.25">
      <c r="L1734" s="9" t="str">
        <f t="shared" si="54"/>
        <v>#N/A</v>
      </c>
      <c r="M1734" s="9">
        <f t="shared" si="55"/>
        <v>0</v>
      </c>
    </row>
    <row r="1735" spans="12:13" x14ac:dyDescent="0.25">
      <c r="L1735" s="9" t="str">
        <f t="shared" si="54"/>
        <v>#N/A</v>
      </c>
      <c r="M1735" s="9">
        <f t="shared" si="55"/>
        <v>0</v>
      </c>
    </row>
    <row r="1736" spans="12:13" x14ac:dyDescent="0.25">
      <c r="L1736" s="9" t="str">
        <f t="shared" si="54"/>
        <v>#N/A</v>
      </c>
      <c r="M1736" s="9">
        <f t="shared" si="55"/>
        <v>0</v>
      </c>
    </row>
    <row r="1737" spans="12:13" x14ac:dyDescent="0.25">
      <c r="L1737" s="9" t="str">
        <f t="shared" si="54"/>
        <v>#N/A</v>
      </c>
      <c r="M1737" s="9">
        <f t="shared" si="55"/>
        <v>0</v>
      </c>
    </row>
    <row r="1738" spans="12:13" x14ac:dyDescent="0.25">
      <c r="L1738" s="9" t="str">
        <f t="shared" si="54"/>
        <v>#N/A</v>
      </c>
      <c r="M1738" s="9">
        <f t="shared" si="55"/>
        <v>0</v>
      </c>
    </row>
    <row r="1739" spans="12:13" x14ac:dyDescent="0.25">
      <c r="L1739" s="9" t="str">
        <f t="shared" si="54"/>
        <v>#N/A</v>
      </c>
      <c r="M1739" s="9">
        <f t="shared" si="55"/>
        <v>0</v>
      </c>
    </row>
    <row r="1740" spans="12:13" x14ac:dyDescent="0.25">
      <c r="L1740" s="9" t="str">
        <f t="shared" si="54"/>
        <v>#N/A</v>
      </c>
      <c r="M1740" s="9">
        <f t="shared" si="55"/>
        <v>0</v>
      </c>
    </row>
    <row r="1741" spans="12:13" x14ac:dyDescent="0.25">
      <c r="L1741" s="9" t="str">
        <f t="shared" si="54"/>
        <v>#N/A</v>
      </c>
      <c r="M1741" s="9">
        <f t="shared" si="55"/>
        <v>0</v>
      </c>
    </row>
    <row r="1742" spans="12:13" x14ac:dyDescent="0.25">
      <c r="L1742" s="9" t="str">
        <f t="shared" si="54"/>
        <v>#N/A</v>
      </c>
      <c r="M1742" s="9">
        <f t="shared" si="55"/>
        <v>0</v>
      </c>
    </row>
    <row r="1743" spans="12:13" x14ac:dyDescent="0.25">
      <c r="L1743" s="9" t="str">
        <f t="shared" si="54"/>
        <v>#N/A</v>
      </c>
      <c r="M1743" s="9">
        <f t="shared" si="55"/>
        <v>0</v>
      </c>
    </row>
    <row r="1744" spans="12:13" x14ac:dyDescent="0.25">
      <c r="L1744" s="9" t="str">
        <f t="shared" si="54"/>
        <v>#N/A</v>
      </c>
      <c r="M1744" s="9">
        <f t="shared" si="55"/>
        <v>0</v>
      </c>
    </row>
    <row r="1745" spans="12:13" x14ac:dyDescent="0.25">
      <c r="L1745" s="9" t="str">
        <f t="shared" si="54"/>
        <v>#N/A</v>
      </c>
      <c r="M1745" s="9">
        <f t="shared" si="55"/>
        <v>0</v>
      </c>
    </row>
    <row r="1746" spans="12:13" x14ac:dyDescent="0.25">
      <c r="L1746" s="9" t="str">
        <f t="shared" si="54"/>
        <v>#N/A</v>
      </c>
      <c r="M1746" s="9">
        <f t="shared" si="55"/>
        <v>0</v>
      </c>
    </row>
    <row r="1747" spans="12:13" x14ac:dyDescent="0.25">
      <c r="L1747" s="9" t="str">
        <f t="shared" si="54"/>
        <v>#N/A</v>
      </c>
      <c r="M1747" s="9">
        <f t="shared" si="55"/>
        <v>0</v>
      </c>
    </row>
    <row r="1748" spans="12:13" x14ac:dyDescent="0.25">
      <c r="L1748" s="9" t="str">
        <f t="shared" si="54"/>
        <v>#N/A</v>
      </c>
      <c r="M1748" s="9">
        <f t="shared" si="55"/>
        <v>0</v>
      </c>
    </row>
    <row r="1749" spans="12:13" x14ac:dyDescent="0.25">
      <c r="L1749" s="9" t="str">
        <f t="shared" si="54"/>
        <v>#N/A</v>
      </c>
      <c r="M1749" s="9">
        <f t="shared" si="55"/>
        <v>0</v>
      </c>
    </row>
    <row r="1750" spans="12:13" x14ac:dyDescent="0.25">
      <c r="L1750" s="9" t="str">
        <f t="shared" si="54"/>
        <v>#N/A</v>
      </c>
      <c r="M1750" s="9">
        <f t="shared" si="55"/>
        <v>0</v>
      </c>
    </row>
    <row r="1751" spans="12:13" x14ac:dyDescent="0.25">
      <c r="L1751" s="9" t="str">
        <f t="shared" si="54"/>
        <v>#N/A</v>
      </c>
      <c r="M1751" s="9">
        <f t="shared" si="55"/>
        <v>0</v>
      </c>
    </row>
    <row r="1752" spans="12:13" x14ac:dyDescent="0.25">
      <c r="L1752" s="9" t="str">
        <f t="shared" si="54"/>
        <v>#N/A</v>
      </c>
      <c r="M1752" s="9">
        <f t="shared" si="55"/>
        <v>0</v>
      </c>
    </row>
    <row r="1753" spans="12:13" x14ac:dyDescent="0.25">
      <c r="L1753" s="9" t="str">
        <f t="shared" si="54"/>
        <v>#N/A</v>
      </c>
      <c r="M1753" s="9">
        <f t="shared" si="55"/>
        <v>0</v>
      </c>
    </row>
    <row r="1754" spans="12:13" x14ac:dyDescent="0.25">
      <c r="L1754" s="9" t="str">
        <f t="shared" si="54"/>
        <v>#N/A</v>
      </c>
      <c r="M1754" s="9">
        <f t="shared" si="55"/>
        <v>0</v>
      </c>
    </row>
    <row r="1755" spans="12:13" x14ac:dyDescent="0.25">
      <c r="L1755" s="9" t="str">
        <f t="shared" si="54"/>
        <v>#N/A</v>
      </c>
      <c r="M1755" s="9">
        <f t="shared" si="55"/>
        <v>0</v>
      </c>
    </row>
    <row r="1756" spans="12:13" x14ac:dyDescent="0.25">
      <c r="L1756" s="9" t="str">
        <f t="shared" si="54"/>
        <v>#N/A</v>
      </c>
      <c r="M1756" s="9">
        <f t="shared" si="55"/>
        <v>0</v>
      </c>
    </row>
    <row r="1757" spans="12:13" x14ac:dyDescent="0.25">
      <c r="L1757" s="9" t="str">
        <f t="shared" si="54"/>
        <v>#N/A</v>
      </c>
      <c r="M1757" s="9">
        <f t="shared" si="55"/>
        <v>0</v>
      </c>
    </row>
    <row r="1758" spans="12:13" x14ac:dyDescent="0.25">
      <c r="L1758" s="9" t="str">
        <f t="shared" si="54"/>
        <v>#N/A</v>
      </c>
      <c r="M1758" s="9">
        <f t="shared" si="55"/>
        <v>0</v>
      </c>
    </row>
    <row r="1759" spans="12:13" x14ac:dyDescent="0.25">
      <c r="L1759" s="9" t="str">
        <f t="shared" si="54"/>
        <v>#N/A</v>
      </c>
      <c r="M1759" s="9">
        <f t="shared" si="55"/>
        <v>0</v>
      </c>
    </row>
    <row r="1760" spans="12:13" x14ac:dyDescent="0.25">
      <c r="L1760" s="9" t="str">
        <f t="shared" si="54"/>
        <v>#N/A</v>
      </c>
      <c r="M1760" s="9">
        <f t="shared" si="55"/>
        <v>0</v>
      </c>
    </row>
    <row r="1761" spans="12:13" x14ac:dyDescent="0.25">
      <c r="L1761" s="9" t="str">
        <f t="shared" si="54"/>
        <v>#N/A</v>
      </c>
      <c r="M1761" s="9">
        <f t="shared" si="55"/>
        <v>0</v>
      </c>
    </row>
    <row r="1762" spans="12:13" x14ac:dyDescent="0.25">
      <c r="L1762" s="9" t="str">
        <f t="shared" si="54"/>
        <v>#N/A</v>
      </c>
      <c r="M1762" s="9">
        <f t="shared" si="55"/>
        <v>0</v>
      </c>
    </row>
    <row r="1763" spans="12:13" x14ac:dyDescent="0.25">
      <c r="L1763" s="9" t="str">
        <f t="shared" si="54"/>
        <v>#N/A</v>
      </c>
      <c r="M1763" s="9">
        <f t="shared" si="55"/>
        <v>0</v>
      </c>
    </row>
    <row r="1764" spans="12:13" x14ac:dyDescent="0.25">
      <c r="L1764" s="9" t="str">
        <f t="shared" si="54"/>
        <v>#N/A</v>
      </c>
      <c r="M1764" s="9">
        <f t="shared" si="55"/>
        <v>0</v>
      </c>
    </row>
    <row r="1765" spans="12:13" x14ac:dyDescent="0.25">
      <c r="L1765" s="9" t="str">
        <f t="shared" si="54"/>
        <v>#N/A</v>
      </c>
      <c r="M1765" s="9">
        <f t="shared" si="55"/>
        <v>0</v>
      </c>
    </row>
    <row r="1766" spans="12:13" x14ac:dyDescent="0.25">
      <c r="L1766" s="9" t="str">
        <f t="shared" si="54"/>
        <v>#N/A</v>
      </c>
      <c r="M1766" s="9">
        <f t="shared" si="55"/>
        <v>0</v>
      </c>
    </row>
    <row r="1767" spans="12:13" x14ac:dyDescent="0.25">
      <c r="L1767" s="9" t="str">
        <f t="shared" si="54"/>
        <v>#N/A</v>
      </c>
      <c r="M1767" s="9">
        <f t="shared" si="55"/>
        <v>0</v>
      </c>
    </row>
    <row r="1768" spans="12:13" x14ac:dyDescent="0.25">
      <c r="L1768" s="9" t="str">
        <f t="shared" si="54"/>
        <v>#N/A</v>
      </c>
      <c r="M1768" s="9">
        <f t="shared" si="55"/>
        <v>0</v>
      </c>
    </row>
    <row r="1769" spans="12:13" x14ac:dyDescent="0.25">
      <c r="L1769" s="9" t="str">
        <f t="shared" si="54"/>
        <v>#N/A</v>
      </c>
      <c r="M1769" s="9">
        <f t="shared" si="55"/>
        <v>0</v>
      </c>
    </row>
    <row r="1770" spans="12:13" x14ac:dyDescent="0.25">
      <c r="L1770" s="9" t="str">
        <f t="shared" si="54"/>
        <v>#N/A</v>
      </c>
      <c r="M1770" s="9">
        <f t="shared" si="55"/>
        <v>0</v>
      </c>
    </row>
    <row r="1771" spans="12:13" x14ac:dyDescent="0.25">
      <c r="L1771" s="9" t="str">
        <f t="shared" si="54"/>
        <v>#N/A</v>
      </c>
      <c r="M1771" s="9">
        <f t="shared" si="55"/>
        <v>0</v>
      </c>
    </row>
    <row r="1772" spans="12:13" x14ac:dyDescent="0.25">
      <c r="L1772" s="9" t="str">
        <f t="shared" si="54"/>
        <v>#N/A</v>
      </c>
      <c r="M1772" s="9">
        <f t="shared" si="55"/>
        <v>0</v>
      </c>
    </row>
    <row r="1773" spans="12:13" x14ac:dyDescent="0.25">
      <c r="L1773" s="9" t="str">
        <f t="shared" si="54"/>
        <v>#N/A</v>
      </c>
      <c r="M1773" s="9">
        <f t="shared" si="55"/>
        <v>0</v>
      </c>
    </row>
    <row r="1774" spans="12:13" x14ac:dyDescent="0.25">
      <c r="L1774" s="9" t="str">
        <f t="shared" si="54"/>
        <v>#N/A</v>
      </c>
      <c r="M1774" s="9">
        <f t="shared" si="55"/>
        <v>0</v>
      </c>
    </row>
    <row r="1775" spans="12:13" x14ac:dyDescent="0.25">
      <c r="L1775" s="9" t="str">
        <f t="shared" si="54"/>
        <v>#N/A</v>
      </c>
      <c r="M1775" s="9">
        <f t="shared" si="55"/>
        <v>0</v>
      </c>
    </row>
    <row r="1776" spans="12:13" x14ac:dyDescent="0.25">
      <c r="L1776" s="9" t="str">
        <f t="shared" si="54"/>
        <v>#N/A</v>
      </c>
      <c r="M1776" s="9">
        <f t="shared" si="55"/>
        <v>0</v>
      </c>
    </row>
    <row r="1777" spans="12:13" x14ac:dyDescent="0.25">
      <c r="L1777" s="9" t="str">
        <f t="shared" si="54"/>
        <v>#N/A</v>
      </c>
      <c r="M1777" s="9">
        <f t="shared" si="55"/>
        <v>0</v>
      </c>
    </row>
    <row r="1778" spans="12:13" x14ac:dyDescent="0.25">
      <c r="L1778" s="9" t="str">
        <f t="shared" si="54"/>
        <v>#N/A</v>
      </c>
      <c r="M1778" s="9">
        <f t="shared" si="55"/>
        <v>0</v>
      </c>
    </row>
    <row r="1779" spans="12:13" x14ac:dyDescent="0.25">
      <c r="L1779" s="9" t="str">
        <f t="shared" si="54"/>
        <v>#N/A</v>
      </c>
      <c r="M1779" s="9">
        <f t="shared" si="55"/>
        <v>0</v>
      </c>
    </row>
    <row r="1780" spans="12:13" x14ac:dyDescent="0.25">
      <c r="L1780" s="9" t="str">
        <f t="shared" si="54"/>
        <v>#N/A</v>
      </c>
      <c r="M1780" s="9">
        <f t="shared" si="55"/>
        <v>0</v>
      </c>
    </row>
    <row r="1781" spans="12:13" x14ac:dyDescent="0.25">
      <c r="L1781" s="9" t="str">
        <f t="shared" si="54"/>
        <v>#N/A</v>
      </c>
      <c r="M1781" s="9">
        <f t="shared" si="55"/>
        <v>0</v>
      </c>
    </row>
    <row r="1782" spans="12:13" x14ac:dyDescent="0.25">
      <c r="L1782" s="9" t="str">
        <f t="shared" si="54"/>
        <v>#N/A</v>
      </c>
      <c r="M1782" s="9">
        <f t="shared" si="55"/>
        <v>0</v>
      </c>
    </row>
    <row r="1783" spans="12:13" x14ac:dyDescent="0.25">
      <c r="L1783" s="9" t="str">
        <f t="shared" si="54"/>
        <v>#N/A</v>
      </c>
      <c r="M1783" s="9">
        <f t="shared" si="55"/>
        <v>0</v>
      </c>
    </row>
    <row r="1784" spans="12:13" x14ac:dyDescent="0.25">
      <c r="L1784" s="9" t="str">
        <f t="shared" si="54"/>
        <v>#N/A</v>
      </c>
      <c r="M1784" s="9">
        <f t="shared" si="55"/>
        <v>0</v>
      </c>
    </row>
    <row r="1785" spans="12:13" x14ac:dyDescent="0.25">
      <c r="L1785" s="9" t="str">
        <f t="shared" si="54"/>
        <v>#N/A</v>
      </c>
      <c r="M1785" s="9">
        <f t="shared" si="55"/>
        <v>0</v>
      </c>
    </row>
    <row r="1786" spans="12:13" x14ac:dyDescent="0.25">
      <c r="L1786" s="9" t="str">
        <f t="shared" si="54"/>
        <v>#N/A</v>
      </c>
      <c r="M1786" s="9">
        <f t="shared" si="55"/>
        <v>0</v>
      </c>
    </row>
    <row r="1787" spans="12:13" x14ac:dyDescent="0.25">
      <c r="L1787" s="9" t="str">
        <f t="shared" si="54"/>
        <v>#N/A</v>
      </c>
      <c r="M1787" s="9">
        <f t="shared" si="55"/>
        <v>0</v>
      </c>
    </row>
    <row r="1788" spans="12:13" x14ac:dyDescent="0.25">
      <c r="L1788" s="9" t="str">
        <f t="shared" si="54"/>
        <v>#N/A</v>
      </c>
      <c r="M1788" s="9">
        <f t="shared" si="55"/>
        <v>0</v>
      </c>
    </row>
    <row r="1789" spans="12:13" x14ac:dyDescent="0.25">
      <c r="L1789" s="9" t="str">
        <f t="shared" si="54"/>
        <v>#N/A</v>
      </c>
      <c r="M1789" s="9">
        <f t="shared" si="55"/>
        <v>0</v>
      </c>
    </row>
    <row r="1790" spans="12:13" x14ac:dyDescent="0.25">
      <c r="L1790" s="9" t="str">
        <f t="shared" si="54"/>
        <v>#N/A</v>
      </c>
      <c r="M1790" s="9">
        <f t="shared" si="55"/>
        <v>0</v>
      </c>
    </row>
    <row r="1791" spans="12:13" x14ac:dyDescent="0.25">
      <c r="L1791" s="9" t="str">
        <f t="shared" si="54"/>
        <v>#N/A</v>
      </c>
      <c r="M1791" s="9">
        <f t="shared" si="55"/>
        <v>0</v>
      </c>
    </row>
    <row r="1792" spans="12:13" x14ac:dyDescent="0.25">
      <c r="L1792" s="9" t="str">
        <f t="shared" si="54"/>
        <v>#N/A</v>
      </c>
      <c r="M1792" s="9">
        <f t="shared" si="55"/>
        <v>0</v>
      </c>
    </row>
    <row r="1793" spans="12:13" x14ac:dyDescent="0.25">
      <c r="L1793" s="9" t="str">
        <f t="shared" si="54"/>
        <v>#N/A</v>
      </c>
      <c r="M1793" s="9">
        <f t="shared" si="55"/>
        <v>0</v>
      </c>
    </row>
    <row r="1794" spans="12:13" x14ac:dyDescent="0.25">
      <c r="L1794" s="9" t="str">
        <f t="shared" ref="L1794:L1857" si="56">IF((D1794^2+(B1794*$K$2)^2)&gt;0,1/(D1794^2+(B1794*$K$2)^2),"#N/A")</f>
        <v>#N/A</v>
      </c>
      <c r="M1794" s="9">
        <f t="shared" si="55"/>
        <v>0</v>
      </c>
    </row>
    <row r="1795" spans="12:13" x14ac:dyDescent="0.25">
      <c r="L1795" s="9" t="str">
        <f t="shared" si="56"/>
        <v>#N/A</v>
      </c>
      <c r="M1795" s="9">
        <f t="shared" ref="M1795:M1858" si="57">IF(B1795*$K$2&gt;D1795*10,1,0)</f>
        <v>0</v>
      </c>
    </row>
    <row r="1796" spans="12:13" x14ac:dyDescent="0.25">
      <c r="L1796" s="9" t="str">
        <f t="shared" si="56"/>
        <v>#N/A</v>
      </c>
      <c r="M1796" s="9">
        <f t="shared" si="57"/>
        <v>0</v>
      </c>
    </row>
    <row r="1797" spans="12:13" x14ac:dyDescent="0.25">
      <c r="L1797" s="9" t="str">
        <f t="shared" si="56"/>
        <v>#N/A</v>
      </c>
      <c r="M1797" s="9">
        <f t="shared" si="57"/>
        <v>0</v>
      </c>
    </row>
    <row r="1798" spans="12:13" x14ac:dyDescent="0.25">
      <c r="L1798" s="9" t="str">
        <f t="shared" si="56"/>
        <v>#N/A</v>
      </c>
      <c r="M1798" s="9">
        <f t="shared" si="57"/>
        <v>0</v>
      </c>
    </row>
    <row r="1799" spans="12:13" x14ac:dyDescent="0.25">
      <c r="L1799" s="9" t="str">
        <f t="shared" si="56"/>
        <v>#N/A</v>
      </c>
      <c r="M1799" s="9">
        <f t="shared" si="57"/>
        <v>0</v>
      </c>
    </row>
    <row r="1800" spans="12:13" x14ac:dyDescent="0.25">
      <c r="L1800" s="9" t="str">
        <f t="shared" si="56"/>
        <v>#N/A</v>
      </c>
      <c r="M1800" s="9">
        <f t="shared" si="57"/>
        <v>0</v>
      </c>
    </row>
    <row r="1801" spans="12:13" x14ac:dyDescent="0.25">
      <c r="L1801" s="9" t="str">
        <f t="shared" si="56"/>
        <v>#N/A</v>
      </c>
      <c r="M1801" s="9">
        <f t="shared" si="57"/>
        <v>0</v>
      </c>
    </row>
    <row r="1802" spans="12:13" x14ac:dyDescent="0.25">
      <c r="L1802" s="9" t="str">
        <f t="shared" si="56"/>
        <v>#N/A</v>
      </c>
      <c r="M1802" s="9">
        <f t="shared" si="57"/>
        <v>0</v>
      </c>
    </row>
    <row r="1803" spans="12:13" x14ac:dyDescent="0.25">
      <c r="L1803" s="9" t="str">
        <f t="shared" si="56"/>
        <v>#N/A</v>
      </c>
      <c r="M1803" s="9">
        <f t="shared" si="57"/>
        <v>0</v>
      </c>
    </row>
    <row r="1804" spans="12:13" x14ac:dyDescent="0.25">
      <c r="L1804" s="9" t="str">
        <f t="shared" si="56"/>
        <v>#N/A</v>
      </c>
      <c r="M1804" s="9">
        <f t="shared" si="57"/>
        <v>0</v>
      </c>
    </row>
    <row r="1805" spans="12:13" x14ac:dyDescent="0.25">
      <c r="L1805" s="9" t="str">
        <f t="shared" si="56"/>
        <v>#N/A</v>
      </c>
      <c r="M1805" s="9">
        <f t="shared" si="57"/>
        <v>0</v>
      </c>
    </row>
    <row r="1806" spans="12:13" x14ac:dyDescent="0.25">
      <c r="L1806" s="9" t="str">
        <f t="shared" si="56"/>
        <v>#N/A</v>
      </c>
      <c r="M1806" s="9">
        <f t="shared" si="57"/>
        <v>0</v>
      </c>
    </row>
    <row r="1807" spans="12:13" x14ac:dyDescent="0.25">
      <c r="L1807" s="9" t="str">
        <f t="shared" si="56"/>
        <v>#N/A</v>
      </c>
      <c r="M1807" s="9">
        <f t="shared" si="57"/>
        <v>0</v>
      </c>
    </row>
    <row r="1808" spans="12:13" x14ac:dyDescent="0.25">
      <c r="L1808" s="9" t="str">
        <f t="shared" si="56"/>
        <v>#N/A</v>
      </c>
      <c r="M1808" s="9">
        <f t="shared" si="57"/>
        <v>0</v>
      </c>
    </row>
    <row r="1809" spans="12:13" x14ac:dyDescent="0.25">
      <c r="L1809" s="9" t="str">
        <f t="shared" si="56"/>
        <v>#N/A</v>
      </c>
      <c r="M1809" s="9">
        <f t="shared" si="57"/>
        <v>0</v>
      </c>
    </row>
    <row r="1810" spans="12:13" x14ac:dyDescent="0.25">
      <c r="L1810" s="9" t="str">
        <f t="shared" si="56"/>
        <v>#N/A</v>
      </c>
      <c r="M1810" s="9">
        <f t="shared" si="57"/>
        <v>0</v>
      </c>
    </row>
    <row r="1811" spans="12:13" x14ac:dyDescent="0.25">
      <c r="L1811" s="9" t="str">
        <f t="shared" si="56"/>
        <v>#N/A</v>
      </c>
      <c r="M1811" s="9">
        <f t="shared" si="57"/>
        <v>0</v>
      </c>
    </row>
    <row r="1812" spans="12:13" x14ac:dyDescent="0.25">
      <c r="L1812" s="9" t="str">
        <f t="shared" si="56"/>
        <v>#N/A</v>
      </c>
      <c r="M1812" s="9">
        <f t="shared" si="57"/>
        <v>0</v>
      </c>
    </row>
    <row r="1813" spans="12:13" x14ac:dyDescent="0.25">
      <c r="L1813" s="9" t="str">
        <f t="shared" si="56"/>
        <v>#N/A</v>
      </c>
      <c r="M1813" s="9">
        <f t="shared" si="57"/>
        <v>0</v>
      </c>
    </row>
    <row r="1814" spans="12:13" x14ac:dyDescent="0.25">
      <c r="L1814" s="9" t="str">
        <f t="shared" si="56"/>
        <v>#N/A</v>
      </c>
      <c r="M1814" s="9">
        <f t="shared" si="57"/>
        <v>0</v>
      </c>
    </row>
    <row r="1815" spans="12:13" x14ac:dyDescent="0.25">
      <c r="L1815" s="9" t="str">
        <f t="shared" si="56"/>
        <v>#N/A</v>
      </c>
      <c r="M1815" s="9">
        <f t="shared" si="57"/>
        <v>0</v>
      </c>
    </row>
    <row r="1816" spans="12:13" x14ac:dyDescent="0.25">
      <c r="L1816" s="9" t="str">
        <f t="shared" si="56"/>
        <v>#N/A</v>
      </c>
      <c r="M1816" s="9">
        <f t="shared" si="57"/>
        <v>0</v>
      </c>
    </row>
    <row r="1817" spans="12:13" x14ac:dyDescent="0.25">
      <c r="L1817" s="9" t="str">
        <f t="shared" si="56"/>
        <v>#N/A</v>
      </c>
      <c r="M1817" s="9">
        <f t="shared" si="57"/>
        <v>0</v>
      </c>
    </row>
    <row r="1818" spans="12:13" x14ac:dyDescent="0.25">
      <c r="L1818" s="9" t="str">
        <f t="shared" si="56"/>
        <v>#N/A</v>
      </c>
      <c r="M1818" s="9">
        <f t="shared" si="57"/>
        <v>0</v>
      </c>
    </row>
    <row r="1819" spans="12:13" x14ac:dyDescent="0.25">
      <c r="L1819" s="9" t="str">
        <f t="shared" si="56"/>
        <v>#N/A</v>
      </c>
      <c r="M1819" s="9">
        <f t="shared" si="57"/>
        <v>0</v>
      </c>
    </row>
    <row r="1820" spans="12:13" x14ac:dyDescent="0.25">
      <c r="L1820" s="9" t="str">
        <f t="shared" si="56"/>
        <v>#N/A</v>
      </c>
      <c r="M1820" s="9">
        <f t="shared" si="57"/>
        <v>0</v>
      </c>
    </row>
    <row r="1821" spans="12:13" x14ac:dyDescent="0.25">
      <c r="L1821" s="9" t="str">
        <f t="shared" si="56"/>
        <v>#N/A</v>
      </c>
      <c r="M1821" s="9">
        <f t="shared" si="57"/>
        <v>0</v>
      </c>
    </row>
    <row r="1822" spans="12:13" x14ac:dyDescent="0.25">
      <c r="L1822" s="9" t="str">
        <f t="shared" si="56"/>
        <v>#N/A</v>
      </c>
      <c r="M1822" s="9">
        <f t="shared" si="57"/>
        <v>0</v>
      </c>
    </row>
    <row r="1823" spans="12:13" x14ac:dyDescent="0.25">
      <c r="L1823" s="9" t="str">
        <f t="shared" si="56"/>
        <v>#N/A</v>
      </c>
      <c r="M1823" s="9">
        <f t="shared" si="57"/>
        <v>0</v>
      </c>
    </row>
    <row r="1824" spans="12:13" x14ac:dyDescent="0.25">
      <c r="L1824" s="9" t="str">
        <f t="shared" si="56"/>
        <v>#N/A</v>
      </c>
      <c r="M1824" s="9">
        <f t="shared" si="57"/>
        <v>0</v>
      </c>
    </row>
    <row r="1825" spans="12:13" x14ac:dyDescent="0.25">
      <c r="L1825" s="9" t="str">
        <f t="shared" si="56"/>
        <v>#N/A</v>
      </c>
      <c r="M1825" s="9">
        <f t="shared" si="57"/>
        <v>0</v>
      </c>
    </row>
    <row r="1826" spans="12:13" x14ac:dyDescent="0.25">
      <c r="L1826" s="9" t="str">
        <f t="shared" si="56"/>
        <v>#N/A</v>
      </c>
      <c r="M1826" s="9">
        <f t="shared" si="57"/>
        <v>0</v>
      </c>
    </row>
    <row r="1827" spans="12:13" x14ac:dyDescent="0.25">
      <c r="L1827" s="9" t="str">
        <f t="shared" si="56"/>
        <v>#N/A</v>
      </c>
      <c r="M1827" s="9">
        <f t="shared" si="57"/>
        <v>0</v>
      </c>
    </row>
    <row r="1828" spans="12:13" x14ac:dyDescent="0.25">
      <c r="L1828" s="9" t="str">
        <f t="shared" si="56"/>
        <v>#N/A</v>
      </c>
      <c r="M1828" s="9">
        <f t="shared" si="57"/>
        <v>0</v>
      </c>
    </row>
    <row r="1829" spans="12:13" x14ac:dyDescent="0.25">
      <c r="L1829" s="9" t="str">
        <f t="shared" si="56"/>
        <v>#N/A</v>
      </c>
      <c r="M1829" s="9">
        <f t="shared" si="57"/>
        <v>0</v>
      </c>
    </row>
    <row r="1830" spans="12:13" x14ac:dyDescent="0.25">
      <c r="L1830" s="9" t="str">
        <f t="shared" si="56"/>
        <v>#N/A</v>
      </c>
      <c r="M1830" s="9">
        <f t="shared" si="57"/>
        <v>0</v>
      </c>
    </row>
    <row r="1831" spans="12:13" x14ac:dyDescent="0.25">
      <c r="L1831" s="9" t="str">
        <f t="shared" si="56"/>
        <v>#N/A</v>
      </c>
      <c r="M1831" s="9">
        <f t="shared" si="57"/>
        <v>0</v>
      </c>
    </row>
    <row r="1832" spans="12:13" x14ac:dyDescent="0.25">
      <c r="L1832" s="9" t="str">
        <f t="shared" si="56"/>
        <v>#N/A</v>
      </c>
      <c r="M1832" s="9">
        <f t="shared" si="57"/>
        <v>0</v>
      </c>
    </row>
    <row r="1833" spans="12:13" x14ac:dyDescent="0.25">
      <c r="L1833" s="9" t="str">
        <f t="shared" si="56"/>
        <v>#N/A</v>
      </c>
      <c r="M1833" s="9">
        <f t="shared" si="57"/>
        <v>0</v>
      </c>
    </row>
    <row r="1834" spans="12:13" x14ac:dyDescent="0.25">
      <c r="L1834" s="9" t="str">
        <f t="shared" si="56"/>
        <v>#N/A</v>
      </c>
      <c r="M1834" s="9">
        <f t="shared" si="57"/>
        <v>0</v>
      </c>
    </row>
    <row r="1835" spans="12:13" x14ac:dyDescent="0.25">
      <c r="L1835" s="9" t="str">
        <f t="shared" si="56"/>
        <v>#N/A</v>
      </c>
      <c r="M1835" s="9">
        <f t="shared" si="57"/>
        <v>0</v>
      </c>
    </row>
    <row r="1836" spans="12:13" x14ac:dyDescent="0.25">
      <c r="L1836" s="9" t="str">
        <f t="shared" si="56"/>
        <v>#N/A</v>
      </c>
      <c r="M1836" s="9">
        <f t="shared" si="57"/>
        <v>0</v>
      </c>
    </row>
    <row r="1837" spans="12:13" x14ac:dyDescent="0.25">
      <c r="L1837" s="9" t="str">
        <f t="shared" si="56"/>
        <v>#N/A</v>
      </c>
      <c r="M1837" s="9">
        <f t="shared" si="57"/>
        <v>0</v>
      </c>
    </row>
    <row r="1838" spans="12:13" x14ac:dyDescent="0.25">
      <c r="L1838" s="9" t="str">
        <f t="shared" si="56"/>
        <v>#N/A</v>
      </c>
      <c r="M1838" s="9">
        <f t="shared" si="57"/>
        <v>0</v>
      </c>
    </row>
    <row r="1839" spans="12:13" x14ac:dyDescent="0.25">
      <c r="L1839" s="9" t="str">
        <f t="shared" si="56"/>
        <v>#N/A</v>
      </c>
      <c r="M1839" s="9">
        <f t="shared" si="57"/>
        <v>0</v>
      </c>
    </row>
    <row r="1840" spans="12:13" x14ac:dyDescent="0.25">
      <c r="L1840" s="9" t="str">
        <f t="shared" si="56"/>
        <v>#N/A</v>
      </c>
      <c r="M1840" s="9">
        <f t="shared" si="57"/>
        <v>0</v>
      </c>
    </row>
    <row r="1841" spans="12:13" x14ac:dyDescent="0.25">
      <c r="L1841" s="9" t="str">
        <f t="shared" si="56"/>
        <v>#N/A</v>
      </c>
      <c r="M1841" s="9">
        <f t="shared" si="57"/>
        <v>0</v>
      </c>
    </row>
    <row r="1842" spans="12:13" x14ac:dyDescent="0.25">
      <c r="L1842" s="9" t="str">
        <f t="shared" si="56"/>
        <v>#N/A</v>
      </c>
      <c r="M1842" s="9">
        <f t="shared" si="57"/>
        <v>0</v>
      </c>
    </row>
    <row r="1843" spans="12:13" x14ac:dyDescent="0.25">
      <c r="L1843" s="9" t="str">
        <f t="shared" si="56"/>
        <v>#N/A</v>
      </c>
      <c r="M1843" s="9">
        <f t="shared" si="57"/>
        <v>0</v>
      </c>
    </row>
    <row r="1844" spans="12:13" x14ac:dyDescent="0.25">
      <c r="L1844" s="9" t="str">
        <f t="shared" si="56"/>
        <v>#N/A</v>
      </c>
      <c r="M1844" s="9">
        <f t="shared" si="57"/>
        <v>0</v>
      </c>
    </row>
    <row r="1845" spans="12:13" x14ac:dyDescent="0.25">
      <c r="L1845" s="9" t="str">
        <f t="shared" si="56"/>
        <v>#N/A</v>
      </c>
      <c r="M1845" s="9">
        <f t="shared" si="57"/>
        <v>0</v>
      </c>
    </row>
    <row r="1846" spans="12:13" x14ac:dyDescent="0.25">
      <c r="L1846" s="9" t="str">
        <f t="shared" si="56"/>
        <v>#N/A</v>
      </c>
      <c r="M1846" s="9">
        <f t="shared" si="57"/>
        <v>0</v>
      </c>
    </row>
    <row r="1847" spans="12:13" x14ac:dyDescent="0.25">
      <c r="L1847" s="9" t="str">
        <f t="shared" si="56"/>
        <v>#N/A</v>
      </c>
      <c r="M1847" s="9">
        <f t="shared" si="57"/>
        <v>0</v>
      </c>
    </row>
    <row r="1848" spans="12:13" x14ac:dyDescent="0.25">
      <c r="L1848" s="9" t="str">
        <f t="shared" si="56"/>
        <v>#N/A</v>
      </c>
      <c r="M1848" s="9">
        <f t="shared" si="57"/>
        <v>0</v>
      </c>
    </row>
    <row r="1849" spans="12:13" x14ac:dyDescent="0.25">
      <c r="L1849" s="9" t="str">
        <f t="shared" si="56"/>
        <v>#N/A</v>
      </c>
      <c r="M1849" s="9">
        <f t="shared" si="57"/>
        <v>0</v>
      </c>
    </row>
    <row r="1850" spans="12:13" x14ac:dyDescent="0.25">
      <c r="L1850" s="9" t="str">
        <f t="shared" si="56"/>
        <v>#N/A</v>
      </c>
      <c r="M1850" s="9">
        <f t="shared" si="57"/>
        <v>0</v>
      </c>
    </row>
    <row r="1851" spans="12:13" x14ac:dyDescent="0.25">
      <c r="L1851" s="9" t="str">
        <f t="shared" si="56"/>
        <v>#N/A</v>
      </c>
      <c r="M1851" s="9">
        <f t="shared" si="57"/>
        <v>0</v>
      </c>
    </row>
    <row r="1852" spans="12:13" x14ac:dyDescent="0.25">
      <c r="L1852" s="9" t="str">
        <f t="shared" si="56"/>
        <v>#N/A</v>
      </c>
      <c r="M1852" s="9">
        <f t="shared" si="57"/>
        <v>0</v>
      </c>
    </row>
    <row r="1853" spans="12:13" x14ac:dyDescent="0.25">
      <c r="L1853" s="9" t="str">
        <f t="shared" si="56"/>
        <v>#N/A</v>
      </c>
      <c r="M1853" s="9">
        <f t="shared" si="57"/>
        <v>0</v>
      </c>
    </row>
    <row r="1854" spans="12:13" x14ac:dyDescent="0.25">
      <c r="L1854" s="9" t="str">
        <f t="shared" si="56"/>
        <v>#N/A</v>
      </c>
      <c r="M1854" s="9">
        <f t="shared" si="57"/>
        <v>0</v>
      </c>
    </row>
    <row r="1855" spans="12:13" x14ac:dyDescent="0.25">
      <c r="L1855" s="9" t="str">
        <f t="shared" si="56"/>
        <v>#N/A</v>
      </c>
      <c r="M1855" s="9">
        <f t="shared" si="57"/>
        <v>0</v>
      </c>
    </row>
    <row r="1856" spans="12:13" x14ac:dyDescent="0.25">
      <c r="L1856" s="9" t="str">
        <f t="shared" si="56"/>
        <v>#N/A</v>
      </c>
      <c r="M1856" s="9">
        <f t="shared" si="57"/>
        <v>0</v>
      </c>
    </row>
    <row r="1857" spans="12:13" x14ac:dyDescent="0.25">
      <c r="L1857" s="9" t="str">
        <f t="shared" si="56"/>
        <v>#N/A</v>
      </c>
      <c r="M1857" s="9">
        <f t="shared" si="57"/>
        <v>0</v>
      </c>
    </row>
    <row r="1858" spans="12:13" x14ac:dyDescent="0.25">
      <c r="L1858" s="9" t="str">
        <f t="shared" ref="L1858:L1921" si="58">IF((D1858^2+(B1858*$K$2)^2)&gt;0,1/(D1858^2+(B1858*$K$2)^2),"#N/A")</f>
        <v>#N/A</v>
      </c>
      <c r="M1858" s="9">
        <f t="shared" si="57"/>
        <v>0</v>
      </c>
    </row>
    <row r="1859" spans="12:13" x14ac:dyDescent="0.25">
      <c r="L1859" s="9" t="str">
        <f t="shared" si="58"/>
        <v>#N/A</v>
      </c>
      <c r="M1859" s="9">
        <f t="shared" ref="M1859:M1922" si="59">IF(B1859*$K$2&gt;D1859*10,1,0)</f>
        <v>0</v>
      </c>
    </row>
    <row r="1860" spans="12:13" x14ac:dyDescent="0.25">
      <c r="L1860" s="9" t="str">
        <f t="shared" si="58"/>
        <v>#N/A</v>
      </c>
      <c r="M1860" s="9">
        <f t="shared" si="59"/>
        <v>0</v>
      </c>
    </row>
    <row r="1861" spans="12:13" x14ac:dyDescent="0.25">
      <c r="L1861" s="9" t="str">
        <f t="shared" si="58"/>
        <v>#N/A</v>
      </c>
      <c r="M1861" s="9">
        <f t="shared" si="59"/>
        <v>0</v>
      </c>
    </row>
    <row r="1862" spans="12:13" x14ac:dyDescent="0.25">
      <c r="L1862" s="9" t="str">
        <f t="shared" si="58"/>
        <v>#N/A</v>
      </c>
      <c r="M1862" s="9">
        <f t="shared" si="59"/>
        <v>0</v>
      </c>
    </row>
    <row r="1863" spans="12:13" x14ac:dyDescent="0.25">
      <c r="L1863" s="9" t="str">
        <f t="shared" si="58"/>
        <v>#N/A</v>
      </c>
      <c r="M1863" s="9">
        <f t="shared" si="59"/>
        <v>0</v>
      </c>
    </row>
    <row r="1864" spans="12:13" x14ac:dyDescent="0.25">
      <c r="L1864" s="9" t="str">
        <f t="shared" si="58"/>
        <v>#N/A</v>
      </c>
      <c r="M1864" s="9">
        <f t="shared" si="59"/>
        <v>0</v>
      </c>
    </row>
    <row r="1865" spans="12:13" x14ac:dyDescent="0.25">
      <c r="L1865" s="9" t="str">
        <f t="shared" si="58"/>
        <v>#N/A</v>
      </c>
      <c r="M1865" s="9">
        <f t="shared" si="59"/>
        <v>0</v>
      </c>
    </row>
    <row r="1866" spans="12:13" x14ac:dyDescent="0.25">
      <c r="L1866" s="9" t="str">
        <f t="shared" si="58"/>
        <v>#N/A</v>
      </c>
      <c r="M1866" s="9">
        <f t="shared" si="59"/>
        <v>0</v>
      </c>
    </row>
    <row r="1867" spans="12:13" x14ac:dyDescent="0.25">
      <c r="L1867" s="9" t="str">
        <f t="shared" si="58"/>
        <v>#N/A</v>
      </c>
      <c r="M1867" s="9">
        <f t="shared" si="59"/>
        <v>0</v>
      </c>
    </row>
    <row r="1868" spans="12:13" x14ac:dyDescent="0.25">
      <c r="L1868" s="9" t="str">
        <f t="shared" si="58"/>
        <v>#N/A</v>
      </c>
      <c r="M1868" s="9">
        <f t="shared" si="59"/>
        <v>0</v>
      </c>
    </row>
    <row r="1869" spans="12:13" x14ac:dyDescent="0.25">
      <c r="L1869" s="9" t="str">
        <f t="shared" si="58"/>
        <v>#N/A</v>
      </c>
      <c r="M1869" s="9">
        <f t="shared" si="59"/>
        <v>0</v>
      </c>
    </row>
    <row r="1870" spans="12:13" x14ac:dyDescent="0.25">
      <c r="L1870" s="9" t="str">
        <f t="shared" si="58"/>
        <v>#N/A</v>
      </c>
      <c r="M1870" s="9">
        <f t="shared" si="59"/>
        <v>0</v>
      </c>
    </row>
    <row r="1871" spans="12:13" x14ac:dyDescent="0.25">
      <c r="L1871" s="9" t="str">
        <f t="shared" si="58"/>
        <v>#N/A</v>
      </c>
      <c r="M1871" s="9">
        <f t="shared" si="59"/>
        <v>0</v>
      </c>
    </row>
    <row r="1872" spans="12:13" x14ac:dyDescent="0.25">
      <c r="L1872" s="9" t="str">
        <f t="shared" si="58"/>
        <v>#N/A</v>
      </c>
      <c r="M1872" s="9">
        <f t="shared" si="59"/>
        <v>0</v>
      </c>
    </row>
    <row r="1873" spans="12:13" x14ac:dyDescent="0.25">
      <c r="L1873" s="9" t="str">
        <f t="shared" si="58"/>
        <v>#N/A</v>
      </c>
      <c r="M1873" s="9">
        <f t="shared" si="59"/>
        <v>0</v>
      </c>
    </row>
    <row r="1874" spans="12:13" x14ac:dyDescent="0.25">
      <c r="L1874" s="9" t="str">
        <f t="shared" si="58"/>
        <v>#N/A</v>
      </c>
      <c r="M1874" s="9">
        <f t="shared" si="59"/>
        <v>0</v>
      </c>
    </row>
    <row r="1875" spans="12:13" x14ac:dyDescent="0.25">
      <c r="L1875" s="9" t="str">
        <f t="shared" si="58"/>
        <v>#N/A</v>
      </c>
      <c r="M1875" s="9">
        <f t="shared" si="59"/>
        <v>0</v>
      </c>
    </row>
    <row r="1876" spans="12:13" x14ac:dyDescent="0.25">
      <c r="L1876" s="9" t="str">
        <f t="shared" si="58"/>
        <v>#N/A</v>
      </c>
      <c r="M1876" s="9">
        <f t="shared" si="59"/>
        <v>0</v>
      </c>
    </row>
    <row r="1877" spans="12:13" x14ac:dyDescent="0.25">
      <c r="L1877" s="9" t="str">
        <f t="shared" si="58"/>
        <v>#N/A</v>
      </c>
      <c r="M1877" s="9">
        <f t="shared" si="59"/>
        <v>0</v>
      </c>
    </row>
    <row r="1878" spans="12:13" x14ac:dyDescent="0.25">
      <c r="L1878" s="9" t="str">
        <f t="shared" si="58"/>
        <v>#N/A</v>
      </c>
      <c r="M1878" s="9">
        <f t="shared" si="59"/>
        <v>0</v>
      </c>
    </row>
    <row r="1879" spans="12:13" x14ac:dyDescent="0.25">
      <c r="L1879" s="9" t="str">
        <f t="shared" si="58"/>
        <v>#N/A</v>
      </c>
      <c r="M1879" s="9">
        <f t="shared" si="59"/>
        <v>0</v>
      </c>
    </row>
    <row r="1880" spans="12:13" x14ac:dyDescent="0.25">
      <c r="L1880" s="9" t="str">
        <f t="shared" si="58"/>
        <v>#N/A</v>
      </c>
      <c r="M1880" s="9">
        <f t="shared" si="59"/>
        <v>0</v>
      </c>
    </row>
    <row r="1881" spans="12:13" x14ac:dyDescent="0.25">
      <c r="L1881" s="9" t="str">
        <f t="shared" si="58"/>
        <v>#N/A</v>
      </c>
      <c r="M1881" s="9">
        <f t="shared" si="59"/>
        <v>0</v>
      </c>
    </row>
    <row r="1882" spans="12:13" x14ac:dyDescent="0.25">
      <c r="L1882" s="9" t="str">
        <f t="shared" si="58"/>
        <v>#N/A</v>
      </c>
      <c r="M1882" s="9">
        <f t="shared" si="59"/>
        <v>0</v>
      </c>
    </row>
    <row r="1883" spans="12:13" x14ac:dyDescent="0.25">
      <c r="L1883" s="9" t="str">
        <f t="shared" si="58"/>
        <v>#N/A</v>
      </c>
      <c r="M1883" s="9">
        <f t="shared" si="59"/>
        <v>0</v>
      </c>
    </row>
    <row r="1884" spans="12:13" x14ac:dyDescent="0.25">
      <c r="L1884" s="9" t="str">
        <f t="shared" si="58"/>
        <v>#N/A</v>
      </c>
      <c r="M1884" s="9">
        <f t="shared" si="59"/>
        <v>0</v>
      </c>
    </row>
    <row r="1885" spans="12:13" x14ac:dyDescent="0.25">
      <c r="L1885" s="9" t="str">
        <f t="shared" si="58"/>
        <v>#N/A</v>
      </c>
      <c r="M1885" s="9">
        <f t="shared" si="59"/>
        <v>0</v>
      </c>
    </row>
    <row r="1886" spans="12:13" x14ac:dyDescent="0.25">
      <c r="L1886" s="9" t="str">
        <f t="shared" si="58"/>
        <v>#N/A</v>
      </c>
      <c r="M1886" s="9">
        <f t="shared" si="59"/>
        <v>0</v>
      </c>
    </row>
    <row r="1887" spans="12:13" x14ac:dyDescent="0.25">
      <c r="L1887" s="9" t="str">
        <f t="shared" si="58"/>
        <v>#N/A</v>
      </c>
      <c r="M1887" s="9">
        <f t="shared" si="59"/>
        <v>0</v>
      </c>
    </row>
    <row r="1888" spans="12:13" x14ac:dyDescent="0.25">
      <c r="L1888" s="9" t="str">
        <f t="shared" si="58"/>
        <v>#N/A</v>
      </c>
      <c r="M1888" s="9">
        <f t="shared" si="59"/>
        <v>0</v>
      </c>
    </row>
    <row r="1889" spans="12:13" x14ac:dyDescent="0.25">
      <c r="L1889" s="9" t="str">
        <f t="shared" si="58"/>
        <v>#N/A</v>
      </c>
      <c r="M1889" s="9">
        <f t="shared" si="59"/>
        <v>0</v>
      </c>
    </row>
    <row r="1890" spans="12:13" x14ac:dyDescent="0.25">
      <c r="L1890" s="9" t="str">
        <f t="shared" si="58"/>
        <v>#N/A</v>
      </c>
      <c r="M1890" s="9">
        <f t="shared" si="59"/>
        <v>0</v>
      </c>
    </row>
    <row r="1891" spans="12:13" x14ac:dyDescent="0.25">
      <c r="L1891" s="9" t="str">
        <f t="shared" si="58"/>
        <v>#N/A</v>
      </c>
      <c r="M1891" s="9">
        <f t="shared" si="59"/>
        <v>0</v>
      </c>
    </row>
    <row r="1892" spans="12:13" x14ac:dyDescent="0.25">
      <c r="L1892" s="9" t="str">
        <f t="shared" si="58"/>
        <v>#N/A</v>
      </c>
      <c r="M1892" s="9">
        <f t="shared" si="59"/>
        <v>0</v>
      </c>
    </row>
    <row r="1893" spans="12:13" x14ac:dyDescent="0.25">
      <c r="L1893" s="9" t="str">
        <f t="shared" si="58"/>
        <v>#N/A</v>
      </c>
      <c r="M1893" s="9">
        <f t="shared" si="59"/>
        <v>0</v>
      </c>
    </row>
    <row r="1894" spans="12:13" x14ac:dyDescent="0.25">
      <c r="L1894" s="9" t="str">
        <f t="shared" si="58"/>
        <v>#N/A</v>
      </c>
      <c r="M1894" s="9">
        <f t="shared" si="59"/>
        <v>0</v>
      </c>
    </row>
    <row r="1895" spans="12:13" x14ac:dyDescent="0.25">
      <c r="L1895" s="9" t="str">
        <f t="shared" si="58"/>
        <v>#N/A</v>
      </c>
      <c r="M1895" s="9">
        <f t="shared" si="59"/>
        <v>0</v>
      </c>
    </row>
    <row r="1896" spans="12:13" x14ac:dyDescent="0.25">
      <c r="L1896" s="9" t="str">
        <f t="shared" si="58"/>
        <v>#N/A</v>
      </c>
      <c r="M1896" s="9">
        <f t="shared" si="59"/>
        <v>0</v>
      </c>
    </row>
    <row r="1897" spans="12:13" x14ac:dyDescent="0.25">
      <c r="L1897" s="9" t="str">
        <f t="shared" si="58"/>
        <v>#N/A</v>
      </c>
      <c r="M1897" s="9">
        <f t="shared" si="59"/>
        <v>0</v>
      </c>
    </row>
    <row r="1898" spans="12:13" x14ac:dyDescent="0.25">
      <c r="L1898" s="9" t="str">
        <f t="shared" si="58"/>
        <v>#N/A</v>
      </c>
      <c r="M1898" s="9">
        <f t="shared" si="59"/>
        <v>0</v>
      </c>
    </row>
    <row r="1899" spans="12:13" x14ac:dyDescent="0.25">
      <c r="L1899" s="9" t="str">
        <f t="shared" si="58"/>
        <v>#N/A</v>
      </c>
      <c r="M1899" s="9">
        <f t="shared" si="59"/>
        <v>0</v>
      </c>
    </row>
    <row r="1900" spans="12:13" x14ac:dyDescent="0.25">
      <c r="L1900" s="9" t="str">
        <f t="shared" si="58"/>
        <v>#N/A</v>
      </c>
      <c r="M1900" s="9">
        <f t="shared" si="59"/>
        <v>0</v>
      </c>
    </row>
    <row r="1901" spans="12:13" x14ac:dyDescent="0.25">
      <c r="L1901" s="9" t="str">
        <f t="shared" si="58"/>
        <v>#N/A</v>
      </c>
      <c r="M1901" s="9">
        <f t="shared" si="59"/>
        <v>0</v>
      </c>
    </row>
    <row r="1902" spans="12:13" x14ac:dyDescent="0.25">
      <c r="L1902" s="9" t="str">
        <f t="shared" si="58"/>
        <v>#N/A</v>
      </c>
      <c r="M1902" s="9">
        <f t="shared" si="59"/>
        <v>0</v>
      </c>
    </row>
    <row r="1903" spans="12:13" x14ac:dyDescent="0.25">
      <c r="L1903" s="9" t="str">
        <f t="shared" si="58"/>
        <v>#N/A</v>
      </c>
      <c r="M1903" s="9">
        <f t="shared" si="59"/>
        <v>0</v>
      </c>
    </row>
    <row r="1904" spans="12:13" x14ac:dyDescent="0.25">
      <c r="L1904" s="9" t="str">
        <f t="shared" si="58"/>
        <v>#N/A</v>
      </c>
      <c r="M1904" s="9">
        <f t="shared" si="59"/>
        <v>0</v>
      </c>
    </row>
    <row r="1905" spans="12:13" x14ac:dyDescent="0.25">
      <c r="L1905" s="9" t="str">
        <f t="shared" si="58"/>
        <v>#N/A</v>
      </c>
      <c r="M1905" s="9">
        <f t="shared" si="59"/>
        <v>0</v>
      </c>
    </row>
    <row r="1906" spans="12:13" x14ac:dyDescent="0.25">
      <c r="L1906" s="9" t="str">
        <f t="shared" si="58"/>
        <v>#N/A</v>
      </c>
      <c r="M1906" s="9">
        <f t="shared" si="59"/>
        <v>0</v>
      </c>
    </row>
    <row r="1907" spans="12:13" x14ac:dyDescent="0.25">
      <c r="L1907" s="9" t="str">
        <f t="shared" si="58"/>
        <v>#N/A</v>
      </c>
      <c r="M1907" s="9">
        <f t="shared" si="59"/>
        <v>0</v>
      </c>
    </row>
    <row r="1908" spans="12:13" x14ac:dyDescent="0.25">
      <c r="L1908" s="9" t="str">
        <f t="shared" si="58"/>
        <v>#N/A</v>
      </c>
      <c r="M1908" s="9">
        <f t="shared" si="59"/>
        <v>0</v>
      </c>
    </row>
    <row r="1909" spans="12:13" x14ac:dyDescent="0.25">
      <c r="L1909" s="9" t="str">
        <f t="shared" si="58"/>
        <v>#N/A</v>
      </c>
      <c r="M1909" s="9">
        <f t="shared" si="59"/>
        <v>0</v>
      </c>
    </row>
    <row r="1910" spans="12:13" x14ac:dyDescent="0.25">
      <c r="L1910" s="9" t="str">
        <f t="shared" si="58"/>
        <v>#N/A</v>
      </c>
      <c r="M1910" s="9">
        <f t="shared" si="59"/>
        <v>0</v>
      </c>
    </row>
    <row r="1911" spans="12:13" x14ac:dyDescent="0.25">
      <c r="L1911" s="9" t="str">
        <f t="shared" si="58"/>
        <v>#N/A</v>
      </c>
      <c r="M1911" s="9">
        <f t="shared" si="59"/>
        <v>0</v>
      </c>
    </row>
    <row r="1912" spans="12:13" x14ac:dyDescent="0.25">
      <c r="L1912" s="9" t="str">
        <f t="shared" si="58"/>
        <v>#N/A</v>
      </c>
      <c r="M1912" s="9">
        <f t="shared" si="59"/>
        <v>0</v>
      </c>
    </row>
    <row r="1913" spans="12:13" x14ac:dyDescent="0.25">
      <c r="L1913" s="9" t="str">
        <f t="shared" si="58"/>
        <v>#N/A</v>
      </c>
      <c r="M1913" s="9">
        <f t="shared" si="59"/>
        <v>0</v>
      </c>
    </row>
    <row r="1914" spans="12:13" x14ac:dyDescent="0.25">
      <c r="L1914" s="9" t="str">
        <f t="shared" si="58"/>
        <v>#N/A</v>
      </c>
      <c r="M1914" s="9">
        <f t="shared" si="59"/>
        <v>0</v>
      </c>
    </row>
    <row r="1915" spans="12:13" x14ac:dyDescent="0.25">
      <c r="L1915" s="9" t="str">
        <f t="shared" si="58"/>
        <v>#N/A</v>
      </c>
      <c r="M1915" s="9">
        <f t="shared" si="59"/>
        <v>0</v>
      </c>
    </row>
    <row r="1916" spans="12:13" x14ac:dyDescent="0.25">
      <c r="L1916" s="9" t="str">
        <f t="shared" si="58"/>
        <v>#N/A</v>
      </c>
      <c r="M1916" s="9">
        <f t="shared" si="59"/>
        <v>0</v>
      </c>
    </row>
    <row r="1917" spans="12:13" x14ac:dyDescent="0.25">
      <c r="L1917" s="9" t="str">
        <f t="shared" si="58"/>
        <v>#N/A</v>
      </c>
      <c r="M1917" s="9">
        <f t="shared" si="59"/>
        <v>0</v>
      </c>
    </row>
    <row r="1918" spans="12:13" x14ac:dyDescent="0.25">
      <c r="L1918" s="9" t="str">
        <f t="shared" si="58"/>
        <v>#N/A</v>
      </c>
      <c r="M1918" s="9">
        <f t="shared" si="59"/>
        <v>0</v>
      </c>
    </row>
    <row r="1919" spans="12:13" x14ac:dyDescent="0.25">
      <c r="L1919" s="9" t="str">
        <f t="shared" si="58"/>
        <v>#N/A</v>
      </c>
      <c r="M1919" s="9">
        <f t="shared" si="59"/>
        <v>0</v>
      </c>
    </row>
    <row r="1920" spans="12:13" x14ac:dyDescent="0.25">
      <c r="L1920" s="9" t="str">
        <f t="shared" si="58"/>
        <v>#N/A</v>
      </c>
      <c r="M1920" s="9">
        <f t="shared" si="59"/>
        <v>0</v>
      </c>
    </row>
    <row r="1921" spans="12:13" x14ac:dyDescent="0.25">
      <c r="L1921" s="9" t="str">
        <f t="shared" si="58"/>
        <v>#N/A</v>
      </c>
      <c r="M1921" s="9">
        <f t="shared" si="59"/>
        <v>0</v>
      </c>
    </row>
    <row r="1922" spans="12:13" x14ac:dyDescent="0.25">
      <c r="L1922" s="9" t="str">
        <f t="shared" ref="L1922:L1985" si="60">IF((D1922^2+(B1922*$K$2)^2)&gt;0,1/(D1922^2+(B1922*$K$2)^2),"#N/A")</f>
        <v>#N/A</v>
      </c>
      <c r="M1922" s="9">
        <f t="shared" si="59"/>
        <v>0</v>
      </c>
    </row>
    <row r="1923" spans="12:13" x14ac:dyDescent="0.25">
      <c r="L1923" s="9" t="str">
        <f t="shared" si="60"/>
        <v>#N/A</v>
      </c>
      <c r="M1923" s="9">
        <f t="shared" ref="M1923:M1986" si="61">IF(B1923*$K$2&gt;D1923*10,1,0)</f>
        <v>0</v>
      </c>
    </row>
    <row r="1924" spans="12:13" x14ac:dyDescent="0.25">
      <c r="L1924" s="9" t="str">
        <f t="shared" si="60"/>
        <v>#N/A</v>
      </c>
      <c r="M1924" s="9">
        <f t="shared" si="61"/>
        <v>0</v>
      </c>
    </row>
    <row r="1925" spans="12:13" x14ac:dyDescent="0.25">
      <c r="L1925" s="9" t="str">
        <f t="shared" si="60"/>
        <v>#N/A</v>
      </c>
      <c r="M1925" s="9">
        <f t="shared" si="61"/>
        <v>0</v>
      </c>
    </row>
    <row r="1926" spans="12:13" x14ac:dyDescent="0.25">
      <c r="L1926" s="9" t="str">
        <f t="shared" si="60"/>
        <v>#N/A</v>
      </c>
      <c r="M1926" s="9">
        <f t="shared" si="61"/>
        <v>0</v>
      </c>
    </row>
    <row r="1927" spans="12:13" x14ac:dyDescent="0.25">
      <c r="L1927" s="9" t="str">
        <f t="shared" si="60"/>
        <v>#N/A</v>
      </c>
      <c r="M1927" s="9">
        <f t="shared" si="61"/>
        <v>0</v>
      </c>
    </row>
    <row r="1928" spans="12:13" x14ac:dyDescent="0.25">
      <c r="L1928" s="9" t="str">
        <f t="shared" si="60"/>
        <v>#N/A</v>
      </c>
      <c r="M1928" s="9">
        <f t="shared" si="61"/>
        <v>0</v>
      </c>
    </row>
    <row r="1929" spans="12:13" x14ac:dyDescent="0.25">
      <c r="L1929" s="9" t="str">
        <f t="shared" si="60"/>
        <v>#N/A</v>
      </c>
      <c r="M1929" s="9">
        <f t="shared" si="61"/>
        <v>0</v>
      </c>
    </row>
    <row r="1930" spans="12:13" x14ac:dyDescent="0.25">
      <c r="L1930" s="9" t="str">
        <f t="shared" si="60"/>
        <v>#N/A</v>
      </c>
      <c r="M1930" s="9">
        <f t="shared" si="61"/>
        <v>0</v>
      </c>
    </row>
    <row r="1931" spans="12:13" x14ac:dyDescent="0.25">
      <c r="L1931" s="9" t="str">
        <f t="shared" si="60"/>
        <v>#N/A</v>
      </c>
      <c r="M1931" s="9">
        <f t="shared" si="61"/>
        <v>0</v>
      </c>
    </row>
    <row r="1932" spans="12:13" x14ac:dyDescent="0.25">
      <c r="L1932" s="9" t="str">
        <f t="shared" si="60"/>
        <v>#N/A</v>
      </c>
      <c r="M1932" s="9">
        <f t="shared" si="61"/>
        <v>0</v>
      </c>
    </row>
    <row r="1933" spans="12:13" x14ac:dyDescent="0.25">
      <c r="L1933" s="9" t="str">
        <f t="shared" si="60"/>
        <v>#N/A</v>
      </c>
      <c r="M1933" s="9">
        <f t="shared" si="61"/>
        <v>0</v>
      </c>
    </row>
    <row r="1934" spans="12:13" x14ac:dyDescent="0.25">
      <c r="L1934" s="9" t="str">
        <f t="shared" si="60"/>
        <v>#N/A</v>
      </c>
      <c r="M1934" s="9">
        <f t="shared" si="61"/>
        <v>0</v>
      </c>
    </row>
    <row r="1935" spans="12:13" x14ac:dyDescent="0.25">
      <c r="L1935" s="9" t="str">
        <f t="shared" si="60"/>
        <v>#N/A</v>
      </c>
      <c r="M1935" s="9">
        <f t="shared" si="61"/>
        <v>0</v>
      </c>
    </row>
    <row r="1936" spans="12:13" x14ac:dyDescent="0.25">
      <c r="L1936" s="9" t="str">
        <f t="shared" si="60"/>
        <v>#N/A</v>
      </c>
      <c r="M1936" s="9">
        <f t="shared" si="61"/>
        <v>0</v>
      </c>
    </row>
    <row r="1937" spans="12:13" x14ac:dyDescent="0.25">
      <c r="L1937" s="9" t="str">
        <f t="shared" si="60"/>
        <v>#N/A</v>
      </c>
      <c r="M1937" s="9">
        <f t="shared" si="61"/>
        <v>0</v>
      </c>
    </row>
    <row r="1938" spans="12:13" x14ac:dyDescent="0.25">
      <c r="L1938" s="9" t="str">
        <f t="shared" si="60"/>
        <v>#N/A</v>
      </c>
      <c r="M1938" s="9">
        <f t="shared" si="61"/>
        <v>0</v>
      </c>
    </row>
    <row r="1939" spans="12:13" x14ac:dyDescent="0.25">
      <c r="L1939" s="9" t="str">
        <f t="shared" si="60"/>
        <v>#N/A</v>
      </c>
      <c r="M1939" s="9">
        <f t="shared" si="61"/>
        <v>0</v>
      </c>
    </row>
    <row r="1940" spans="12:13" x14ac:dyDescent="0.25">
      <c r="L1940" s="9" t="str">
        <f t="shared" si="60"/>
        <v>#N/A</v>
      </c>
      <c r="M1940" s="9">
        <f t="shared" si="61"/>
        <v>0</v>
      </c>
    </row>
    <row r="1941" spans="12:13" x14ac:dyDescent="0.25">
      <c r="L1941" s="9" t="str">
        <f t="shared" si="60"/>
        <v>#N/A</v>
      </c>
      <c r="M1941" s="9">
        <f t="shared" si="61"/>
        <v>0</v>
      </c>
    </row>
    <row r="1942" spans="12:13" x14ac:dyDescent="0.25">
      <c r="L1942" s="9" t="str">
        <f t="shared" si="60"/>
        <v>#N/A</v>
      </c>
      <c r="M1942" s="9">
        <f t="shared" si="61"/>
        <v>0</v>
      </c>
    </row>
    <row r="1943" spans="12:13" x14ac:dyDescent="0.25">
      <c r="L1943" s="9" t="str">
        <f t="shared" si="60"/>
        <v>#N/A</v>
      </c>
      <c r="M1943" s="9">
        <f t="shared" si="61"/>
        <v>0</v>
      </c>
    </row>
    <row r="1944" spans="12:13" x14ac:dyDescent="0.25">
      <c r="L1944" s="9" t="str">
        <f t="shared" si="60"/>
        <v>#N/A</v>
      </c>
      <c r="M1944" s="9">
        <f t="shared" si="61"/>
        <v>0</v>
      </c>
    </row>
    <row r="1945" spans="12:13" x14ac:dyDescent="0.25">
      <c r="L1945" s="9" t="str">
        <f t="shared" si="60"/>
        <v>#N/A</v>
      </c>
      <c r="M1945" s="9">
        <f t="shared" si="61"/>
        <v>0</v>
      </c>
    </row>
    <row r="1946" spans="12:13" x14ac:dyDescent="0.25">
      <c r="L1946" s="9" t="str">
        <f t="shared" si="60"/>
        <v>#N/A</v>
      </c>
      <c r="M1946" s="9">
        <f t="shared" si="61"/>
        <v>0</v>
      </c>
    </row>
    <row r="1947" spans="12:13" x14ac:dyDescent="0.25">
      <c r="L1947" s="9" t="str">
        <f t="shared" si="60"/>
        <v>#N/A</v>
      </c>
      <c r="M1947" s="9">
        <f t="shared" si="61"/>
        <v>0</v>
      </c>
    </row>
    <row r="1948" spans="12:13" x14ac:dyDescent="0.25">
      <c r="L1948" s="9" t="str">
        <f t="shared" si="60"/>
        <v>#N/A</v>
      </c>
      <c r="M1948" s="9">
        <f t="shared" si="61"/>
        <v>0</v>
      </c>
    </row>
    <row r="1949" spans="12:13" x14ac:dyDescent="0.25">
      <c r="L1949" s="9" t="str">
        <f t="shared" si="60"/>
        <v>#N/A</v>
      </c>
      <c r="M1949" s="9">
        <f t="shared" si="61"/>
        <v>0</v>
      </c>
    </row>
    <row r="1950" spans="12:13" x14ac:dyDescent="0.25">
      <c r="L1950" s="9" t="str">
        <f t="shared" si="60"/>
        <v>#N/A</v>
      </c>
      <c r="M1950" s="9">
        <f t="shared" si="61"/>
        <v>0</v>
      </c>
    </row>
    <row r="1951" spans="12:13" x14ac:dyDescent="0.25">
      <c r="L1951" s="9" t="str">
        <f t="shared" si="60"/>
        <v>#N/A</v>
      </c>
      <c r="M1951" s="9">
        <f t="shared" si="61"/>
        <v>0</v>
      </c>
    </row>
    <row r="1952" spans="12:13" x14ac:dyDescent="0.25">
      <c r="L1952" s="9" t="str">
        <f t="shared" si="60"/>
        <v>#N/A</v>
      </c>
      <c r="M1952" s="9">
        <f t="shared" si="61"/>
        <v>0</v>
      </c>
    </row>
    <row r="1953" spans="12:13" x14ac:dyDescent="0.25">
      <c r="L1953" s="9" t="str">
        <f t="shared" si="60"/>
        <v>#N/A</v>
      </c>
      <c r="M1953" s="9">
        <f t="shared" si="61"/>
        <v>0</v>
      </c>
    </row>
    <row r="1954" spans="12:13" x14ac:dyDescent="0.25">
      <c r="L1954" s="9" t="str">
        <f t="shared" si="60"/>
        <v>#N/A</v>
      </c>
      <c r="M1954" s="9">
        <f t="shared" si="61"/>
        <v>0</v>
      </c>
    </row>
    <row r="1955" spans="12:13" x14ac:dyDescent="0.25">
      <c r="L1955" s="9" t="str">
        <f t="shared" si="60"/>
        <v>#N/A</v>
      </c>
      <c r="M1955" s="9">
        <f t="shared" si="61"/>
        <v>0</v>
      </c>
    </row>
    <row r="1956" spans="12:13" x14ac:dyDescent="0.25">
      <c r="L1956" s="9" t="str">
        <f t="shared" si="60"/>
        <v>#N/A</v>
      </c>
      <c r="M1956" s="9">
        <f t="shared" si="61"/>
        <v>0</v>
      </c>
    </row>
    <row r="1957" spans="12:13" x14ac:dyDescent="0.25">
      <c r="L1957" s="9" t="str">
        <f t="shared" si="60"/>
        <v>#N/A</v>
      </c>
      <c r="M1957" s="9">
        <f t="shared" si="61"/>
        <v>0</v>
      </c>
    </row>
    <row r="1958" spans="12:13" x14ac:dyDescent="0.25">
      <c r="L1958" s="9" t="str">
        <f t="shared" si="60"/>
        <v>#N/A</v>
      </c>
      <c r="M1958" s="9">
        <f t="shared" si="61"/>
        <v>0</v>
      </c>
    </row>
    <row r="1959" spans="12:13" x14ac:dyDescent="0.25">
      <c r="L1959" s="9" t="str">
        <f t="shared" si="60"/>
        <v>#N/A</v>
      </c>
      <c r="M1959" s="9">
        <f t="shared" si="61"/>
        <v>0</v>
      </c>
    </row>
    <row r="1960" spans="12:13" x14ac:dyDescent="0.25">
      <c r="L1960" s="9" t="str">
        <f t="shared" si="60"/>
        <v>#N/A</v>
      </c>
      <c r="M1960" s="9">
        <f t="shared" si="61"/>
        <v>0</v>
      </c>
    </row>
    <row r="1961" spans="12:13" x14ac:dyDescent="0.25">
      <c r="L1961" s="9" t="str">
        <f t="shared" si="60"/>
        <v>#N/A</v>
      </c>
      <c r="M1961" s="9">
        <f t="shared" si="61"/>
        <v>0</v>
      </c>
    </row>
    <row r="1962" spans="12:13" x14ac:dyDescent="0.25">
      <c r="L1962" s="9" t="str">
        <f t="shared" si="60"/>
        <v>#N/A</v>
      </c>
      <c r="M1962" s="9">
        <f t="shared" si="61"/>
        <v>0</v>
      </c>
    </row>
    <row r="1963" spans="12:13" x14ac:dyDescent="0.25">
      <c r="L1963" s="9" t="str">
        <f t="shared" si="60"/>
        <v>#N/A</v>
      </c>
      <c r="M1963" s="9">
        <f t="shared" si="61"/>
        <v>0</v>
      </c>
    </row>
    <row r="1964" spans="12:13" x14ac:dyDescent="0.25">
      <c r="L1964" s="9" t="str">
        <f t="shared" si="60"/>
        <v>#N/A</v>
      </c>
      <c r="M1964" s="9">
        <f t="shared" si="61"/>
        <v>0</v>
      </c>
    </row>
    <row r="1965" spans="12:13" x14ac:dyDescent="0.25">
      <c r="L1965" s="9" t="str">
        <f t="shared" si="60"/>
        <v>#N/A</v>
      </c>
      <c r="M1965" s="9">
        <f t="shared" si="61"/>
        <v>0</v>
      </c>
    </row>
    <row r="1966" spans="12:13" x14ac:dyDescent="0.25">
      <c r="L1966" s="9" t="str">
        <f t="shared" si="60"/>
        <v>#N/A</v>
      </c>
      <c r="M1966" s="9">
        <f t="shared" si="61"/>
        <v>0</v>
      </c>
    </row>
    <row r="1967" spans="12:13" x14ac:dyDescent="0.25">
      <c r="L1967" s="9" t="str">
        <f t="shared" si="60"/>
        <v>#N/A</v>
      </c>
      <c r="M1967" s="9">
        <f t="shared" si="61"/>
        <v>0</v>
      </c>
    </row>
    <row r="1968" spans="12:13" x14ac:dyDescent="0.25">
      <c r="L1968" s="9" t="str">
        <f t="shared" si="60"/>
        <v>#N/A</v>
      </c>
      <c r="M1968" s="9">
        <f t="shared" si="61"/>
        <v>0</v>
      </c>
    </row>
    <row r="1969" spans="12:13" x14ac:dyDescent="0.25">
      <c r="L1969" s="9" t="str">
        <f t="shared" si="60"/>
        <v>#N/A</v>
      </c>
      <c r="M1969" s="9">
        <f t="shared" si="61"/>
        <v>0</v>
      </c>
    </row>
    <row r="1970" spans="12:13" x14ac:dyDescent="0.25">
      <c r="L1970" s="9" t="str">
        <f t="shared" si="60"/>
        <v>#N/A</v>
      </c>
      <c r="M1970" s="9">
        <f t="shared" si="61"/>
        <v>0</v>
      </c>
    </row>
    <row r="1971" spans="12:13" x14ac:dyDescent="0.25">
      <c r="L1971" s="9" t="str">
        <f t="shared" si="60"/>
        <v>#N/A</v>
      </c>
      <c r="M1971" s="9">
        <f t="shared" si="61"/>
        <v>0</v>
      </c>
    </row>
    <row r="1972" spans="12:13" x14ac:dyDescent="0.25">
      <c r="L1972" s="9" t="str">
        <f t="shared" si="60"/>
        <v>#N/A</v>
      </c>
      <c r="M1972" s="9">
        <f t="shared" si="61"/>
        <v>0</v>
      </c>
    </row>
    <row r="1973" spans="12:13" x14ac:dyDescent="0.25">
      <c r="L1973" s="9" t="str">
        <f t="shared" si="60"/>
        <v>#N/A</v>
      </c>
      <c r="M1973" s="9">
        <f t="shared" si="61"/>
        <v>0</v>
      </c>
    </row>
    <row r="1974" spans="12:13" x14ac:dyDescent="0.25">
      <c r="L1974" s="9" t="str">
        <f t="shared" si="60"/>
        <v>#N/A</v>
      </c>
      <c r="M1974" s="9">
        <f t="shared" si="61"/>
        <v>0</v>
      </c>
    </row>
    <row r="1975" spans="12:13" x14ac:dyDescent="0.25">
      <c r="L1975" s="9" t="str">
        <f t="shared" si="60"/>
        <v>#N/A</v>
      </c>
      <c r="M1975" s="9">
        <f t="shared" si="61"/>
        <v>0</v>
      </c>
    </row>
    <row r="1976" spans="12:13" x14ac:dyDescent="0.25">
      <c r="L1976" s="9" t="str">
        <f t="shared" si="60"/>
        <v>#N/A</v>
      </c>
      <c r="M1976" s="9">
        <f t="shared" si="61"/>
        <v>0</v>
      </c>
    </row>
    <row r="1977" spans="12:13" x14ac:dyDescent="0.25">
      <c r="L1977" s="9" t="str">
        <f t="shared" si="60"/>
        <v>#N/A</v>
      </c>
      <c r="M1977" s="9">
        <f t="shared" si="61"/>
        <v>0</v>
      </c>
    </row>
    <row r="1978" spans="12:13" x14ac:dyDescent="0.25">
      <c r="L1978" s="9" t="str">
        <f t="shared" si="60"/>
        <v>#N/A</v>
      </c>
      <c r="M1978" s="9">
        <f t="shared" si="61"/>
        <v>0</v>
      </c>
    </row>
    <row r="1979" spans="12:13" x14ac:dyDescent="0.25">
      <c r="L1979" s="9" t="str">
        <f t="shared" si="60"/>
        <v>#N/A</v>
      </c>
      <c r="M1979" s="9">
        <f t="shared" si="61"/>
        <v>0</v>
      </c>
    </row>
    <row r="1980" spans="12:13" x14ac:dyDescent="0.25">
      <c r="L1980" s="9" t="str">
        <f t="shared" si="60"/>
        <v>#N/A</v>
      </c>
      <c r="M1980" s="9">
        <f t="shared" si="61"/>
        <v>0</v>
      </c>
    </row>
    <row r="1981" spans="12:13" x14ac:dyDescent="0.25">
      <c r="L1981" s="9" t="str">
        <f t="shared" si="60"/>
        <v>#N/A</v>
      </c>
      <c r="M1981" s="9">
        <f t="shared" si="61"/>
        <v>0</v>
      </c>
    </row>
    <row r="1982" spans="12:13" x14ac:dyDescent="0.25">
      <c r="L1982" s="9" t="str">
        <f t="shared" si="60"/>
        <v>#N/A</v>
      </c>
      <c r="M1982" s="9">
        <f t="shared" si="61"/>
        <v>0</v>
      </c>
    </row>
    <row r="1983" spans="12:13" x14ac:dyDescent="0.25">
      <c r="L1983" s="9" t="str">
        <f t="shared" si="60"/>
        <v>#N/A</v>
      </c>
      <c r="M1983" s="9">
        <f t="shared" si="61"/>
        <v>0</v>
      </c>
    </row>
    <row r="1984" spans="12:13" x14ac:dyDescent="0.25">
      <c r="L1984" s="9" t="str">
        <f t="shared" si="60"/>
        <v>#N/A</v>
      </c>
      <c r="M1984" s="9">
        <f t="shared" si="61"/>
        <v>0</v>
      </c>
    </row>
    <row r="1985" spans="12:13" x14ac:dyDescent="0.25">
      <c r="L1985" s="9" t="str">
        <f t="shared" si="60"/>
        <v>#N/A</v>
      </c>
      <c r="M1985" s="9">
        <f t="shared" si="61"/>
        <v>0</v>
      </c>
    </row>
    <row r="1986" spans="12:13" x14ac:dyDescent="0.25">
      <c r="L1986" s="9" t="str">
        <f t="shared" ref="L1986:L1999" si="62">IF((D1986^2+(B1986*$K$2)^2)&gt;0,1/(D1986^2+(B1986*$K$2)^2),"#N/A")</f>
        <v>#N/A</v>
      </c>
      <c r="M1986" s="9">
        <f t="shared" si="61"/>
        <v>0</v>
      </c>
    </row>
    <row r="1987" spans="12:13" x14ac:dyDescent="0.25">
      <c r="L1987" s="9" t="str">
        <f t="shared" si="62"/>
        <v>#N/A</v>
      </c>
      <c r="M1987" s="9">
        <f t="shared" ref="M1987:M1999" si="63">IF(B1987*$K$2&gt;D1987*10,1,0)</f>
        <v>0</v>
      </c>
    </row>
    <row r="1988" spans="12:13" x14ac:dyDescent="0.25">
      <c r="L1988" s="9" t="str">
        <f t="shared" si="62"/>
        <v>#N/A</v>
      </c>
      <c r="M1988" s="9">
        <f t="shared" si="63"/>
        <v>0</v>
      </c>
    </row>
    <row r="1989" spans="12:13" x14ac:dyDescent="0.25">
      <c r="L1989" s="9" t="str">
        <f t="shared" si="62"/>
        <v>#N/A</v>
      </c>
      <c r="M1989" s="9">
        <f t="shared" si="63"/>
        <v>0</v>
      </c>
    </row>
    <row r="1990" spans="12:13" x14ac:dyDescent="0.25">
      <c r="L1990" s="9" t="str">
        <f t="shared" si="62"/>
        <v>#N/A</v>
      </c>
      <c r="M1990" s="9">
        <f t="shared" si="63"/>
        <v>0</v>
      </c>
    </row>
    <row r="1991" spans="12:13" x14ac:dyDescent="0.25">
      <c r="L1991" s="9" t="str">
        <f t="shared" si="62"/>
        <v>#N/A</v>
      </c>
      <c r="M1991" s="9">
        <f t="shared" si="63"/>
        <v>0</v>
      </c>
    </row>
    <row r="1992" spans="12:13" x14ac:dyDescent="0.25">
      <c r="L1992" s="9" t="str">
        <f t="shared" si="62"/>
        <v>#N/A</v>
      </c>
      <c r="M1992" s="9">
        <f t="shared" si="63"/>
        <v>0</v>
      </c>
    </row>
    <row r="1993" spans="12:13" x14ac:dyDescent="0.25">
      <c r="L1993" s="9" t="str">
        <f t="shared" si="62"/>
        <v>#N/A</v>
      </c>
      <c r="M1993" s="9">
        <f t="shared" si="63"/>
        <v>0</v>
      </c>
    </row>
    <row r="1994" spans="12:13" x14ac:dyDescent="0.25">
      <c r="L1994" s="9" t="str">
        <f t="shared" si="62"/>
        <v>#N/A</v>
      </c>
      <c r="M1994" s="9">
        <f t="shared" si="63"/>
        <v>0</v>
      </c>
    </row>
    <row r="1995" spans="12:13" x14ac:dyDescent="0.25">
      <c r="L1995" s="9" t="str">
        <f t="shared" si="62"/>
        <v>#N/A</v>
      </c>
      <c r="M1995" s="9">
        <f t="shared" si="63"/>
        <v>0</v>
      </c>
    </row>
    <row r="1996" spans="12:13" x14ac:dyDescent="0.25">
      <c r="L1996" s="9" t="str">
        <f t="shared" si="62"/>
        <v>#N/A</v>
      </c>
      <c r="M1996" s="9">
        <f t="shared" si="63"/>
        <v>0</v>
      </c>
    </row>
    <row r="1997" spans="12:13" x14ac:dyDescent="0.25">
      <c r="L1997" s="9" t="str">
        <f t="shared" si="62"/>
        <v>#N/A</v>
      </c>
      <c r="M1997" s="9">
        <f t="shared" si="63"/>
        <v>0</v>
      </c>
    </row>
    <row r="1998" spans="12:13" x14ac:dyDescent="0.25">
      <c r="L1998" s="9" t="str">
        <f t="shared" si="62"/>
        <v>#N/A</v>
      </c>
      <c r="M1998" s="9">
        <f t="shared" si="63"/>
        <v>0</v>
      </c>
    </row>
    <row r="1999" spans="12:13" x14ac:dyDescent="0.25">
      <c r="L1999" s="9" t="str">
        <f t="shared" si="62"/>
        <v>#N/A</v>
      </c>
      <c r="M1999" s="9">
        <f t="shared" si="63"/>
        <v>0</v>
      </c>
    </row>
  </sheetData>
  <sheetProtection sheet="1" scenarios="1" formatCells="0"/>
  <mergeCells count="2">
    <mergeCell ref="F1:H1"/>
    <mergeCell ref="O1:P1"/>
  </mergeCells>
  <conditionalFormatting sqref="H7">
    <cfRule type="containsText" dxfId="3" priority="3" operator="containsText" text="WARN">
      <formula>NOT(ISERROR(SEARCH("WARN",H7)))</formula>
    </cfRule>
    <cfRule type="cellIs" dxfId="2" priority="4" operator="equal">
      <formula>"OK"</formula>
    </cfRule>
  </conditionalFormatting>
  <conditionalFormatting sqref="G5:H5">
    <cfRule type="containsText" dxfId="1" priority="1" operator="containsText" text="WARN">
      <formula>NOT(ISERROR(SEARCH("WARN",G5)))</formula>
    </cfRule>
    <cfRule type="cellIs" dxfId="0" priority="2" operator="equal">
      <formula>"OK"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LINEST</vt:lpstr>
      <vt:lpstr>Fit with uncertainty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Cully</dc:creator>
  <cp:lastModifiedBy>Marzena Kastyak-Ibrahim</cp:lastModifiedBy>
  <dcterms:created xsi:type="dcterms:W3CDTF">2018-08-24T19:43:44Z</dcterms:created>
  <dcterms:modified xsi:type="dcterms:W3CDTF">2018-09-04T18:54:08Z</dcterms:modified>
</cp:coreProperties>
</file>