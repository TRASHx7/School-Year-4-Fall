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zena.kastyakibrah\Desktop\"/>
    </mc:Choice>
  </mc:AlternateContent>
  <bookViews>
    <workbookView xWindow="0" yWindow="0" windowWidth="20490" windowHeight="7020"/>
  </bookViews>
  <sheets>
    <sheet name="Title Page" sheetId="1" r:id="rId1"/>
    <sheet name="Data" sheetId="2" r:id="rId2"/>
    <sheet name="Graphs and Analysis" sheetId="3" r:id="rId3"/>
    <sheet name="Error Source" sheetId="5" r:id="rId4"/>
  </sheets>
  <definedNames>
    <definedName name="_xlnm.Print_Area" localSheetId="1">Data!$A$1:$J$58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2" l="1"/>
  <c r="F21" i="2"/>
  <c r="F22" i="2"/>
  <c r="F23" i="2"/>
  <c r="F24" i="2"/>
  <c r="F19" i="2"/>
  <c r="F11" i="2"/>
  <c r="F12" i="2"/>
  <c r="F13" i="2"/>
  <c r="F14" i="2"/>
  <c r="F15" i="2"/>
  <c r="F10" i="2"/>
  <c r="E24" i="2" l="1"/>
  <c r="E23" i="2"/>
  <c r="E22" i="2"/>
  <c r="E21" i="2"/>
  <c r="E20" i="2"/>
  <c r="E19" i="2"/>
  <c r="E11" i="2"/>
  <c r="E12" i="2"/>
  <c r="E13" i="2"/>
  <c r="E14" i="2"/>
  <c r="E15" i="2"/>
  <c r="E10" i="2"/>
  <c r="G10" i="2" l="1"/>
  <c r="I10" i="2" s="1"/>
  <c r="G12" i="2"/>
  <c r="I12" i="2" s="1"/>
  <c r="G15" i="2"/>
  <c r="I15" i="2" s="1"/>
  <c r="G11" i="2"/>
  <c r="I11" i="2" s="1"/>
  <c r="G14" i="2"/>
  <c r="I14" i="2" s="1"/>
  <c r="G13" i="2"/>
  <c r="I13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K37" i="3" l="1"/>
  <c r="L41" i="3" s="1"/>
  <c r="K7" i="3"/>
  <c r="L9" i="3" s="1"/>
  <c r="L8" i="3" l="1"/>
  <c r="L10" i="3"/>
  <c r="L7" i="3"/>
  <c r="L11" i="3"/>
  <c r="L12" i="3"/>
  <c r="L42" i="3"/>
  <c r="L39" i="3"/>
  <c r="L38" i="3"/>
  <c r="L37" i="3"/>
  <c r="L40" i="3"/>
  <c r="K8" i="3" l="1"/>
  <c r="K22" i="3" s="1"/>
  <c r="K38" i="3"/>
  <c r="L51" i="3" s="1"/>
  <c r="K23" i="3"/>
  <c r="K53" i="3"/>
  <c r="L52" i="3" l="1"/>
  <c r="L22" i="3"/>
  <c r="L21" i="3"/>
  <c r="K52" i="3"/>
  <c r="K21" i="3"/>
  <c r="K51" i="3"/>
</calcChain>
</file>

<file path=xl/sharedStrings.xml><?xml version="1.0" encoding="utf-8"?>
<sst xmlns="http://schemas.openxmlformats.org/spreadsheetml/2006/main" count="79" uniqueCount="48">
  <si>
    <t>Title:</t>
  </si>
  <si>
    <t>Electron Diffraction</t>
  </si>
  <si>
    <t>Name</t>
  </si>
  <si>
    <t>UCID</t>
  </si>
  <si>
    <t>Lab TA</t>
  </si>
  <si>
    <t>Date</t>
  </si>
  <si>
    <r>
      <t xml:space="preserve">Target-Screen Distance </t>
    </r>
    <r>
      <rPr>
        <b/>
        <sz val="12"/>
        <color theme="1"/>
        <rFont val="Calibri"/>
        <family val="2"/>
        <scheme val="minor"/>
      </rPr>
      <t xml:space="preserve">B </t>
    </r>
  </si>
  <si>
    <r>
      <t xml:space="preserve">Unit of </t>
    </r>
    <r>
      <rPr>
        <b/>
        <sz val="12"/>
        <color theme="1"/>
        <rFont val="Calibri"/>
        <family val="2"/>
        <scheme val="minor"/>
      </rPr>
      <t>R</t>
    </r>
  </si>
  <si>
    <r>
      <t xml:space="preserve">Unit of </t>
    </r>
    <r>
      <rPr>
        <b/>
        <sz val="12"/>
        <color theme="1"/>
        <rFont val="Calibri"/>
        <family val="2"/>
        <scheme val="minor"/>
      </rPr>
      <t>B</t>
    </r>
  </si>
  <si>
    <r>
      <t xml:space="preserve">alternating voltage </t>
    </r>
    <r>
      <rPr>
        <b/>
        <sz val="12"/>
        <color theme="1"/>
        <rFont val="Calibri"/>
        <family val="2"/>
        <scheme val="minor"/>
      </rPr>
      <t>Va</t>
    </r>
    <r>
      <rPr>
        <sz val="12"/>
        <color theme="1"/>
        <rFont val="Calibri"/>
        <family val="2"/>
        <scheme val="minor"/>
      </rPr>
      <t xml:space="preserve"> (V)</t>
    </r>
  </si>
  <si>
    <r>
      <t xml:space="preserve">ring radius </t>
    </r>
    <r>
      <rPr>
        <b/>
        <sz val="12"/>
        <color theme="1"/>
        <rFont val="Calibri"/>
        <family val="2"/>
        <scheme val="minor"/>
      </rPr>
      <t>H</t>
    </r>
    <r>
      <rPr>
        <sz val="12"/>
        <color theme="1"/>
        <rFont val="Calibri"/>
        <family val="2"/>
        <scheme val="minor"/>
      </rPr>
      <t xml:space="preserve"> (m)</t>
    </r>
  </si>
  <si>
    <r>
      <t xml:space="preserve">plane-screen distance </t>
    </r>
    <r>
      <rPr>
        <b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(m)</t>
    </r>
  </si>
  <si>
    <r>
      <t xml:space="preserve">Radius of the Bulb </t>
    </r>
    <r>
      <rPr>
        <b/>
        <sz val="12"/>
        <color theme="1"/>
        <rFont val="Calibri"/>
        <family val="2"/>
        <scheme val="minor"/>
      </rPr>
      <t>R</t>
    </r>
  </si>
  <si>
    <r>
      <rPr>
        <b/>
        <sz val="12"/>
        <color theme="1"/>
        <rFont val="Calibri"/>
        <family val="2"/>
        <scheme val="minor"/>
      </rPr>
      <t>u( Va)</t>
    </r>
    <r>
      <rPr>
        <sz val="12"/>
        <color theme="1"/>
        <rFont val="Calibri"/>
        <family val="2"/>
        <scheme val="minor"/>
      </rPr>
      <t xml:space="preserve">  (V)</t>
    </r>
  </si>
  <si>
    <r>
      <rPr>
        <b/>
        <sz val="12"/>
        <color theme="1"/>
        <rFont val="Calibri"/>
        <family val="2"/>
        <scheme val="minor"/>
      </rPr>
      <t>u(H)</t>
    </r>
    <r>
      <rPr>
        <sz val="12"/>
        <color theme="1"/>
        <rFont val="Calibri"/>
        <family val="2"/>
        <scheme val="minor"/>
      </rPr>
      <t xml:space="preserve">  (m)</t>
    </r>
  </si>
  <si>
    <r>
      <rPr>
        <b/>
        <sz val="12"/>
        <color theme="1"/>
        <rFont val="Calibri"/>
        <family val="2"/>
        <scheme val="minor"/>
      </rPr>
      <t>u(X)</t>
    </r>
    <r>
      <rPr>
        <sz val="12"/>
        <color theme="1"/>
        <rFont val="Calibri"/>
        <family val="2"/>
        <scheme val="minor"/>
      </rPr>
      <t xml:space="preserve">  (m)</t>
    </r>
  </si>
  <si>
    <r>
      <t xml:space="preserve">diffraction path length 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(m)</t>
    </r>
  </si>
  <si>
    <r>
      <rPr>
        <b/>
        <sz val="12"/>
        <color theme="1"/>
        <rFont val="Calibri"/>
        <family val="2"/>
        <scheme val="minor"/>
      </rPr>
      <t>u(A)</t>
    </r>
    <r>
      <rPr>
        <sz val="12"/>
        <color theme="1"/>
        <rFont val="Calibri"/>
        <family val="2"/>
        <scheme val="minor"/>
      </rPr>
      <t xml:space="preserve">  (m)</t>
    </r>
  </si>
  <si>
    <t xml:space="preserve">Inner Ring </t>
  </si>
  <si>
    <t xml:space="preserve">Outer Ring </t>
  </si>
  <si>
    <t xml:space="preserve">Derive u(X) based on uncertainty of R and H  </t>
  </si>
  <si>
    <t>equation with sample calculation:</t>
  </si>
  <si>
    <t xml:space="preserve">Derive u(A) based on uncertainty of H, B and X </t>
  </si>
  <si>
    <t xml:space="preserve">Derive u(A/sqrt(Va)) based on uncertainty of A and Va </t>
  </si>
  <si>
    <t xml:space="preserve">Inner Ring: Graph of  fitting with uncertainties H versus </t>
  </si>
  <si>
    <t>CALCULATIONS</t>
  </si>
  <si>
    <t>1/sigma^2</t>
  </si>
  <si>
    <t>Slope</t>
  </si>
  <si>
    <t>Delta</t>
  </si>
  <si>
    <t>Analytic method  y=mx+b</t>
  </si>
  <si>
    <t>m</t>
  </si>
  <si>
    <t>b</t>
  </si>
  <si>
    <t>value</t>
  </si>
  <si>
    <t>uncertainty</t>
  </si>
  <si>
    <t>Warnings</t>
  </si>
  <si>
    <t xml:space="preserve">Outer Ring: Graph of  fitting with uncertainties H versus </t>
  </si>
  <si>
    <t>This is similar to fit with uncertainty.</t>
  </si>
  <si>
    <t xml:space="preserve"> </t>
  </si>
  <si>
    <t>Discussion: Sources of Error</t>
  </si>
  <si>
    <r>
      <t>Determine lattice constant d</t>
    </r>
    <r>
      <rPr>
        <b/>
        <sz val="11"/>
        <color theme="1"/>
        <rFont val="Calibri (Body)_x0000_"/>
      </rPr>
      <t>a</t>
    </r>
    <r>
      <rPr>
        <b/>
        <sz val="12"/>
        <color theme="1"/>
        <rFont val="Calibri"/>
        <family val="2"/>
        <scheme val="minor"/>
      </rPr>
      <t xml:space="preserve"> of carbon film with uncertainty derivation</t>
    </r>
  </si>
  <si>
    <t>Determine lattice constant db of carbon film with uncertainty derivation</t>
  </si>
  <si>
    <t>Compare calculated lattice constants with theoretical ones</t>
  </si>
  <si>
    <t>Graph will update automatically! Please add proper unit and adjust the axis range</t>
  </si>
  <si>
    <t xml:space="preserve"> Please do not edit this part!</t>
  </si>
  <si>
    <r>
      <t>Determine which ring corresponds to which lattice constants (d</t>
    </r>
    <r>
      <rPr>
        <b/>
        <sz val="11"/>
        <color theme="1"/>
        <rFont val="Calibri (Body)_x0000_"/>
      </rPr>
      <t>a</t>
    </r>
    <r>
      <rPr>
        <b/>
        <sz val="12"/>
        <color theme="1"/>
        <rFont val="Calibri"/>
        <family val="2"/>
        <scheme val="minor"/>
      </rPr>
      <t xml:space="preserve"> or d</t>
    </r>
    <r>
      <rPr>
        <b/>
        <sz val="11"/>
        <color theme="1"/>
        <rFont val="Calibri (Body)_x0000_"/>
      </rPr>
      <t>b</t>
    </r>
    <r>
      <rPr>
        <b/>
        <sz val="12"/>
        <color theme="1"/>
        <rFont val="Calibri"/>
        <family val="2"/>
        <scheme val="minor"/>
      </rPr>
      <t xml:space="preserve">) </t>
    </r>
  </si>
  <si>
    <t>Value</t>
  </si>
  <si>
    <t>Uncertainty</t>
  </si>
  <si>
    <t>equation with sample calculation: show that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</si>
</sst>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 (Body)_x0000_"/>
    </font>
    <font>
      <sz val="12"/>
      <color theme="0" tint="-0.499984740745262"/>
      <name val="Calibri (Body)_x0000_"/>
    </font>
    <font>
      <b/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FF0000"/>
      <name val="Calibri (Body)_x0000_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136">
    <xf numFmtId="0" fontId="0" fillId="0" borderId="0" xfId="0"/>
    <xf numFmtId="0" fontId="0" fillId="0" borderId="0" xfId="0" applyBorder="1"/>
    <xf numFmtId="0" fontId="3" fillId="0" borderId="3" xfId="0" applyFont="1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/>
    <xf numFmtId="0" fontId="3" fillId="0" borderId="8" xfId="0" applyFont="1" applyBorder="1"/>
    <xf numFmtId="0" fontId="0" fillId="0" borderId="0" xfId="0" applyBorder="1" applyAlignment="1">
      <alignment vertical="center"/>
    </xf>
    <xf numFmtId="0" fontId="0" fillId="0" borderId="0" xfId="0" applyFill="1"/>
    <xf numFmtId="0" fontId="0" fillId="0" borderId="0" xfId="0" applyProtection="1">
      <protection locked="0"/>
    </xf>
    <xf numFmtId="0" fontId="0" fillId="0" borderId="0" xfId="0" applyBorder="1" applyAlignment="1" applyProtection="1">
      <protection locked="0"/>
    </xf>
    <xf numFmtId="0" fontId="0" fillId="0" borderId="9" xfId="0" applyBorder="1" applyAlignment="1" applyProtection="1"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0" fillId="4" borderId="19" xfId="0" applyFill="1" applyBorder="1" applyProtection="1"/>
    <xf numFmtId="0" fontId="0" fillId="4" borderId="0" xfId="0" applyFill="1" applyBorder="1" applyProtection="1"/>
    <xf numFmtId="0" fontId="0" fillId="4" borderId="9" xfId="0" applyFill="1" applyBorder="1" applyProtection="1"/>
    <xf numFmtId="0" fontId="0" fillId="4" borderId="12" xfId="0" applyFill="1" applyBorder="1" applyProtection="1"/>
    <xf numFmtId="0" fontId="0" fillId="4" borderId="13" xfId="0" applyFill="1" applyBorder="1" applyProtection="1"/>
    <xf numFmtId="0" fontId="0" fillId="4" borderId="14" xfId="0" applyFill="1" applyBorder="1" applyProtection="1"/>
    <xf numFmtId="0" fontId="0" fillId="0" borderId="0" xfId="0" applyFill="1" applyProtection="1"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/>
    <xf numFmtId="0" fontId="3" fillId="0" borderId="0" xfId="0" applyFont="1" applyFill="1" applyBorder="1" applyAlignment="1" applyProtection="1"/>
    <xf numFmtId="0" fontId="0" fillId="0" borderId="0" xfId="0" applyProtection="1"/>
    <xf numFmtId="0" fontId="2" fillId="2" borderId="1" xfId="1" applyProtection="1"/>
    <xf numFmtId="0" fontId="6" fillId="2" borderId="1" xfId="1" applyFont="1" applyProtection="1"/>
    <xf numFmtId="0" fontId="8" fillId="0" borderId="18" xfId="0" applyNumberFormat="1" applyFont="1" applyBorder="1" applyAlignment="1" applyProtection="1"/>
    <xf numFmtId="0" fontId="8" fillId="0" borderId="0" xfId="0" applyNumberFormat="1" applyFont="1" applyBorder="1" applyAlignment="1" applyProtection="1">
      <alignment horizontal="center"/>
    </xf>
    <xf numFmtId="0" fontId="8" fillId="0" borderId="0" xfId="0" applyNumberFormat="1" applyFont="1" applyBorder="1" applyAlignment="1" applyProtection="1"/>
    <xf numFmtId="0" fontId="7" fillId="3" borderId="2" xfId="2" applyFont="1" applyProtection="1"/>
    <xf numFmtId="0" fontId="7" fillId="3" borderId="2" xfId="2" applyFont="1" applyAlignment="1" applyProtection="1">
      <alignment horizontal="center"/>
    </xf>
    <xf numFmtId="0" fontId="7" fillId="3" borderId="2" xfId="2" applyFont="1" applyAlignment="1" applyProtection="1">
      <alignment horizontal="right"/>
    </xf>
    <xf numFmtId="0" fontId="0" fillId="3" borderId="2" xfId="2" applyFont="1" applyProtection="1"/>
    <xf numFmtId="0" fontId="7" fillId="3" borderId="2" xfId="2" applyFont="1" applyAlignment="1" applyProtection="1"/>
    <xf numFmtId="0" fontId="0" fillId="0" borderId="0" xfId="0" applyAlignment="1" applyProtection="1">
      <alignment horizontal="left"/>
    </xf>
    <xf numFmtId="0" fontId="0" fillId="0" borderId="0" xfId="0" applyFill="1" applyProtection="1"/>
    <xf numFmtId="0" fontId="0" fillId="4" borderId="11" xfId="0" applyFill="1" applyBorder="1" applyProtection="1"/>
    <xf numFmtId="0" fontId="0" fillId="4" borderId="20" xfId="0" applyFill="1" applyBorder="1" applyProtection="1"/>
    <xf numFmtId="0" fontId="0" fillId="0" borderId="20" xfId="0" applyFill="1" applyBorder="1" applyAlignment="1" applyProtection="1">
      <protection locked="0"/>
    </xf>
    <xf numFmtId="0" fontId="0" fillId="0" borderId="20" xfId="0" applyBorder="1" applyAlignment="1" applyProtection="1">
      <protection locked="0"/>
    </xf>
    <xf numFmtId="0" fontId="0" fillId="0" borderId="21" xfId="0" applyBorder="1" applyAlignment="1" applyProtection="1">
      <protection locked="0"/>
    </xf>
    <xf numFmtId="0" fontId="0" fillId="0" borderId="21" xfId="0" applyFill="1" applyBorder="1" applyAlignment="1" applyProtection="1">
      <protection locked="0"/>
    </xf>
    <xf numFmtId="0" fontId="0" fillId="4" borderId="4" xfId="0" applyFill="1" applyBorder="1" applyProtection="1"/>
    <xf numFmtId="0" fontId="0" fillId="4" borderId="21" xfId="0" applyFill="1" applyBorder="1" applyProtection="1"/>
    <xf numFmtId="0" fontId="0" fillId="0" borderId="22" xfId="0" applyBorder="1" applyAlignment="1" applyProtection="1">
      <protection locked="0"/>
    </xf>
    <xf numFmtId="0" fontId="0" fillId="0" borderId="22" xfId="0" applyFill="1" applyBorder="1" applyAlignment="1" applyProtection="1">
      <protection locked="0"/>
    </xf>
    <xf numFmtId="0" fontId="0" fillId="4" borderId="22" xfId="0" applyFill="1" applyBorder="1" applyProtection="1"/>
    <xf numFmtId="0" fontId="0" fillId="0" borderId="4" xfId="0" applyBorder="1" applyAlignment="1" applyProtection="1">
      <protection locked="0"/>
    </xf>
    <xf numFmtId="0" fontId="0" fillId="0" borderId="3" xfId="0" applyFill="1" applyBorder="1" applyAlignment="1" applyProtection="1">
      <alignment horizontal="center"/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0" fillId="0" borderId="8" xfId="0" applyFill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vertical="top"/>
      <protection locked="0"/>
    </xf>
    <xf numFmtId="0" fontId="0" fillId="0" borderId="8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3" fillId="0" borderId="23" xfId="0" applyFont="1" applyBorder="1" applyProtection="1"/>
    <xf numFmtId="0" fontId="3" fillId="0" borderId="24" xfId="0" applyFont="1" applyBorder="1" applyProtection="1"/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4" borderId="29" xfId="0" applyFill="1" applyBorder="1" applyProtection="1"/>
    <xf numFmtId="0" fontId="0" fillId="4" borderId="30" xfId="0" applyFill="1" applyBorder="1" applyProtection="1"/>
    <xf numFmtId="0" fontId="0" fillId="4" borderId="31" xfId="0" applyFill="1" applyBorder="1" applyProtection="1"/>
    <xf numFmtId="0" fontId="0" fillId="4" borderId="32" xfId="0" applyFill="1" applyBorder="1" applyProtection="1"/>
    <xf numFmtId="0" fontId="0" fillId="4" borderId="33" xfId="0" applyFill="1" applyBorder="1" applyProtection="1"/>
    <xf numFmtId="0" fontId="0" fillId="4" borderId="34" xfId="0" applyFill="1" applyBorder="1" applyProtection="1"/>
    <xf numFmtId="0" fontId="0" fillId="4" borderId="35" xfId="0" applyFill="1" applyBorder="1" applyAlignment="1" applyProtection="1"/>
    <xf numFmtId="0" fontId="0" fillId="0" borderId="5" xfId="0" applyFill="1" applyBorder="1" applyProtection="1">
      <protection locked="0"/>
    </xf>
    <xf numFmtId="0" fontId="0" fillId="0" borderId="7" xfId="0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4" xfId="0" applyFill="1" applyBorder="1" applyAlignment="1" applyProtection="1">
      <protection locked="0"/>
    </xf>
    <xf numFmtId="0" fontId="0" fillId="0" borderId="0" xfId="0" applyFill="1" applyBorder="1" applyAlignment="1" applyProtection="1">
      <protection locked="0"/>
    </xf>
    <xf numFmtId="0" fontId="0" fillId="0" borderId="9" xfId="0" applyFill="1" applyBorder="1" applyAlignment="1" applyProtection="1">
      <protection locked="0"/>
    </xf>
    <xf numFmtId="0" fontId="5" fillId="0" borderId="3" xfId="0" applyFont="1" applyBorder="1" applyAlignment="1" applyProtection="1">
      <alignment vertical="top"/>
      <protection locked="0"/>
    </xf>
    <xf numFmtId="0" fontId="0" fillId="0" borderId="4" xfId="0" applyBorder="1" applyAlignment="1" applyProtection="1">
      <alignment vertical="top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0" xfId="0" applyFont="1" applyBorder="1" applyAlignment="1" applyProtection="1">
      <alignment vertical="top"/>
      <protection locked="0"/>
    </xf>
    <xf numFmtId="0" fontId="5" fillId="0" borderId="4" xfId="0" applyFont="1" applyBorder="1" applyAlignment="1" applyProtection="1">
      <alignment vertical="top"/>
      <protection locked="0"/>
    </xf>
    <xf numFmtId="0" fontId="5" fillId="0" borderId="5" xfId="0" applyFont="1" applyBorder="1" applyAlignment="1" applyProtection="1">
      <alignment vertical="top"/>
      <protection locked="0"/>
    </xf>
    <xf numFmtId="0" fontId="5" fillId="0" borderId="7" xfId="0" applyFont="1" applyBorder="1" applyAlignment="1" applyProtection="1">
      <alignment vertical="top"/>
      <protection locked="0"/>
    </xf>
    <xf numFmtId="0" fontId="5" fillId="0" borderId="8" xfId="0" applyFont="1" applyBorder="1" applyAlignment="1" applyProtection="1">
      <alignment vertical="top"/>
      <protection locked="0"/>
    </xf>
    <xf numFmtId="0" fontId="5" fillId="0" borderId="9" xfId="0" applyFont="1" applyBorder="1" applyAlignment="1" applyProtection="1">
      <alignment vertical="top"/>
      <protection locked="0"/>
    </xf>
    <xf numFmtId="0" fontId="5" fillId="0" borderId="10" xfId="0" applyFont="1" applyBorder="1" applyAlignment="1" applyProtection="1">
      <alignment vertical="top"/>
      <protection locked="0"/>
    </xf>
    <xf numFmtId="0" fontId="0" fillId="4" borderId="36" xfId="0" applyFill="1" applyBorder="1" applyAlignment="1" applyProtection="1"/>
    <xf numFmtId="0" fontId="0" fillId="4" borderId="25" xfId="0" applyFill="1" applyBorder="1" applyProtection="1"/>
    <xf numFmtId="0" fontId="0" fillId="4" borderId="26" xfId="0" applyFill="1" applyBorder="1" applyProtection="1"/>
    <xf numFmtId="0" fontId="0" fillId="4" borderId="27" xfId="0" applyFill="1" applyBorder="1" applyProtection="1"/>
    <xf numFmtId="0" fontId="0" fillId="4" borderId="28" xfId="0" applyFill="1" applyBorder="1" applyProtection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/>
    </xf>
    <xf numFmtId="0" fontId="3" fillId="4" borderId="13" xfId="0" applyFont="1" applyFill="1" applyBorder="1" applyAlignment="1" applyProtection="1">
      <alignment horizontal="center"/>
    </xf>
    <xf numFmtId="0" fontId="3" fillId="4" borderId="14" xfId="0" applyFont="1" applyFill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13" xfId="0" applyFont="1" applyBorder="1" applyAlignment="1" applyProtection="1">
      <alignment horizontal="center"/>
    </xf>
    <xf numFmtId="0" fontId="3" fillId="0" borderId="14" xfId="0" applyFont="1" applyBorder="1" applyAlignment="1" applyProtection="1">
      <alignment horizontal="center"/>
    </xf>
    <xf numFmtId="0" fontId="0" fillId="4" borderId="13" xfId="0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4" borderId="4" xfId="0" applyFill="1" applyBorder="1" applyAlignment="1" applyProtection="1">
      <alignment horizontal="center"/>
    </xf>
    <xf numFmtId="0" fontId="0" fillId="4" borderId="6" xfId="0" applyFill="1" applyBorder="1" applyAlignment="1" applyProtection="1">
      <alignment horizontal="center"/>
    </xf>
    <xf numFmtId="0" fontId="0" fillId="4" borderId="0" xfId="0" applyFill="1" applyBorder="1" applyAlignment="1" applyProtection="1">
      <alignment horizontal="center"/>
    </xf>
    <xf numFmtId="0" fontId="0" fillId="4" borderId="8" xfId="0" applyFill="1" applyBorder="1" applyAlignment="1" applyProtection="1">
      <alignment horizontal="center"/>
    </xf>
    <xf numFmtId="0" fontId="0" fillId="4" borderId="9" xfId="0" applyFill="1" applyBorder="1" applyAlignment="1" applyProtection="1">
      <alignment horizontal="center"/>
    </xf>
    <xf numFmtId="0" fontId="0" fillId="4" borderId="14" xfId="0" applyFill="1" applyBorder="1" applyAlignment="1" applyProtection="1">
      <alignment horizontal="center"/>
    </xf>
    <xf numFmtId="0" fontId="9" fillId="0" borderId="9" xfId="0" applyFont="1" applyBorder="1" applyAlignment="1" applyProtection="1">
      <alignment horizontal="center"/>
    </xf>
    <xf numFmtId="0" fontId="8" fillId="0" borderId="18" xfId="0" applyNumberFormat="1" applyFont="1" applyBorder="1" applyAlignment="1" applyProtection="1">
      <alignment horizontal="center"/>
    </xf>
    <xf numFmtId="0" fontId="8" fillId="0" borderId="0" xfId="0" applyNumberFormat="1" applyFont="1" applyBorder="1" applyAlignment="1" applyProtection="1">
      <alignment horizontal="center"/>
    </xf>
    <xf numFmtId="0" fontId="7" fillId="3" borderId="15" xfId="2" applyFont="1" applyBorder="1" applyAlignment="1" applyProtection="1">
      <alignment horizontal="center"/>
    </xf>
    <xf numFmtId="0" fontId="7" fillId="3" borderId="16" xfId="2" applyFont="1" applyBorder="1" applyAlignment="1" applyProtection="1">
      <alignment horizontal="center"/>
    </xf>
    <xf numFmtId="0" fontId="7" fillId="3" borderId="17" xfId="2" applyFont="1" applyBorder="1" applyAlignment="1" applyProtection="1">
      <alignment horizontal="center"/>
    </xf>
  </cellXfs>
  <cellStyles count="3">
    <cellStyle name="Calculation" xfId="1" builtinId="22"/>
    <cellStyle name="Normal" xfId="0" builtinId="0"/>
    <cellStyle name="Note" xfId="2" builtinId="1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'Graphs and Analysis'!$D$6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.0000000000000002E-3"/>
            <c:backward val="1.0000000000000002E-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Data!$J$10:$J$15</c:f>
                <c:numCache>
                  <c:formatCode>General</c:formatCode>
                  <c:ptCount val="6"/>
                </c:numCache>
              </c:numRef>
            </c:plus>
            <c:minus>
              <c:numRef>
                <c:f>Data!$J$10:$J$15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Data!$D$10:$D$15</c:f>
                <c:numCache>
                  <c:formatCode>General</c:formatCode>
                  <c:ptCount val="6"/>
                </c:numCache>
              </c:numRef>
            </c:plus>
            <c:minus>
              <c:numRef>
                <c:f>Data!$D$10:$D$15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Data!$C$10:$C$15</c:f>
              <c:numCache>
                <c:formatCode>General</c:formatCode>
                <c:ptCount val="6"/>
              </c:numCache>
            </c:numRef>
          </c:xVal>
          <c:yVal>
            <c:numRef>
              <c:f>Data!$I$10:$I$15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0-C447-9BE6-77007E0F3806}"/>
            </c:ext>
          </c:extLst>
        </c:ser>
        <c:ser>
          <c:idx val="1"/>
          <c:order val="1"/>
          <c:tx>
            <c:strRef>
              <c:f>'Graphs and Analysis'!$E$6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'Graphs and Analysis'!$C$7:$C$22</c:f>
              <c:numCache>
                <c:formatCode>General</c:formatCode>
                <c:ptCount val="16"/>
              </c:numCache>
            </c:numRef>
          </c:xVal>
          <c:yVal>
            <c:numRef>
              <c:f>'Graphs and Analysis'!$E$7:$E$22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20-C447-9BE6-77007E0F3806}"/>
            </c:ext>
          </c:extLst>
        </c:ser>
        <c:ser>
          <c:idx val="2"/>
          <c:order val="2"/>
          <c:tx>
            <c:strRef>
              <c:f>'Graphs and Analysis'!$F$6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'Graphs and Analysis'!$C$7:$C$22</c:f>
              <c:numCache>
                <c:formatCode>General</c:formatCode>
                <c:ptCount val="16"/>
              </c:numCache>
            </c:numRef>
          </c:xVal>
          <c:yVal>
            <c:numRef>
              <c:f>'Graphs and Analysis'!$F$7:$F$22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20-C447-9BE6-77007E0F3806}"/>
            </c:ext>
          </c:extLst>
        </c:ser>
        <c:ser>
          <c:idx val="3"/>
          <c:order val="3"/>
          <c:tx>
            <c:strRef>
              <c:f>'Graphs and Analysis'!$G$6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'Graphs and Analysis'!$C$7:$C$22</c:f>
              <c:numCache>
                <c:formatCode>General</c:formatCode>
                <c:ptCount val="16"/>
              </c:numCache>
            </c:numRef>
          </c:xVal>
          <c:yVal>
            <c:numRef>
              <c:f>'Graphs and Analysis'!$G$7:$G$22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20-C447-9BE6-77007E0F3806}"/>
            </c:ext>
          </c:extLst>
        </c:ser>
        <c:ser>
          <c:idx val="4"/>
          <c:order val="4"/>
          <c:tx>
            <c:strRef>
              <c:f>'Graphs and Analysis'!$H$6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'Graphs and Analysis'!$C$7:$C$22</c:f>
              <c:numCache>
                <c:formatCode>General</c:formatCode>
                <c:ptCount val="16"/>
              </c:numCache>
            </c:numRef>
          </c:xVal>
          <c:yVal>
            <c:numRef>
              <c:f>'Graphs and Analysis'!$H$7:$H$22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20-C447-9BE6-77007E0F3806}"/>
            </c:ext>
          </c:extLst>
        </c:ser>
        <c:ser>
          <c:idx val="5"/>
          <c:order val="5"/>
          <c:tx>
            <c:strRef>
              <c:f>'Graphs and Analysis'!$I$6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'Graphs and Analysis'!$C$7:$C$22</c:f>
              <c:numCache>
                <c:formatCode>General</c:formatCode>
                <c:ptCount val="16"/>
              </c:numCache>
            </c:numRef>
          </c:xVal>
          <c:yVal>
            <c:numRef>
              <c:f>'Graphs and Analysis'!$I$7:$I$22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20-C447-9BE6-77007E0F3806}"/>
            </c:ext>
          </c:extLst>
        </c:ser>
        <c:ser>
          <c:idx val="6"/>
          <c:order val="6"/>
          <c:tx>
            <c:strRef>
              <c:f>'Graphs and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Analysis'!$C$7:$C$22</c:f>
              <c:numCache>
                <c:formatCode>General</c:formatCode>
                <c:ptCount val="16"/>
              </c:numCache>
            </c:numRef>
          </c:xVal>
          <c:yVal>
            <c:numRef>
              <c:f>'Graphs and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20-C447-9BE6-77007E0F3806}"/>
            </c:ext>
          </c:extLst>
        </c:ser>
        <c:ser>
          <c:idx val="7"/>
          <c:order val="7"/>
          <c:tx>
            <c:strRef>
              <c:f>'Graphs and Analysis'!#REF!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Analysis'!$C$7:$C$22</c:f>
              <c:numCache>
                <c:formatCode>General</c:formatCode>
                <c:ptCount val="16"/>
              </c:numCache>
            </c:numRef>
          </c:xVal>
          <c:yVal>
            <c:numRef>
              <c:f>'Graphs and Analysis'!#REF!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20-C447-9BE6-77007E0F3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718655"/>
        <c:axId val="1288720351"/>
      </c:scatterChart>
      <c:valAx>
        <c:axId val="1288718655"/>
        <c:scaling>
          <c:orientation val="minMax"/>
          <c:max val="2.5000000000000005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20351"/>
        <c:crosses val="autoZero"/>
        <c:crossBetween val="midCat"/>
      </c:valAx>
      <c:valAx>
        <c:axId val="1288720351"/>
        <c:scaling>
          <c:orientation val="minMax"/>
          <c:max val="3.0000000000000009E-3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A/SQRT(V</a:t>
                </a:r>
                <a:r>
                  <a:rPr lang="en-US" sz="2400" b="1" baseline="-25000"/>
                  <a:t>a</a:t>
                </a:r>
                <a:r>
                  <a:rPr lang="en-US" sz="2400" b="1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1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'Graphs and Analysis'!$C$34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.0000000000000002E-3"/>
            <c:backward val="1.0000000000000002E-3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Data!$J$19:$J$24</c:f>
                <c:numCache>
                  <c:formatCode>General</c:formatCode>
                  <c:ptCount val="6"/>
                </c:numCache>
              </c:numRef>
            </c:plus>
            <c:minus>
              <c:numRef>
                <c:f>Data!$J$19:$J$24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Data!$D$19:$D$24</c:f>
                <c:numCache>
                  <c:formatCode>General</c:formatCode>
                  <c:ptCount val="6"/>
                </c:numCache>
              </c:numRef>
            </c:plus>
            <c:minus>
              <c:numRef>
                <c:f>Data!$D$19:$D$24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Data!$C$19:$C$24</c:f>
              <c:numCache>
                <c:formatCode>General</c:formatCode>
                <c:ptCount val="6"/>
              </c:numCache>
            </c:numRef>
          </c:xVal>
          <c:yVal>
            <c:numRef>
              <c:f>Data!$I$19:$I$24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12-F440-9EB3-A1E862AC842A}"/>
            </c:ext>
          </c:extLst>
        </c:ser>
        <c:ser>
          <c:idx val="1"/>
          <c:order val="1"/>
          <c:tx>
            <c:strRef>
              <c:f>'Graphs and Analysis'!$D$34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Analysis'!$D$35:$D$68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12-F440-9EB3-A1E862AC842A}"/>
            </c:ext>
          </c:extLst>
        </c:ser>
        <c:ser>
          <c:idx val="2"/>
          <c:order val="2"/>
          <c:tx>
            <c:strRef>
              <c:f>'Graphs and Analysis'!$E$34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Analysis'!$E$35:$E$68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12-F440-9EB3-A1E862AC842A}"/>
            </c:ext>
          </c:extLst>
        </c:ser>
        <c:ser>
          <c:idx val="3"/>
          <c:order val="3"/>
          <c:tx>
            <c:strRef>
              <c:f>'Graphs and Analysis'!$F$34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Analysis'!$F$35:$F$68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12-F440-9EB3-A1E862AC842A}"/>
            </c:ext>
          </c:extLst>
        </c:ser>
        <c:ser>
          <c:idx val="4"/>
          <c:order val="4"/>
          <c:tx>
            <c:strRef>
              <c:f>'Graphs and Analysis'!$G$34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Analysis'!$G$35:$G$68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12-F440-9EB3-A1E862AC842A}"/>
            </c:ext>
          </c:extLst>
        </c:ser>
        <c:ser>
          <c:idx val="5"/>
          <c:order val="5"/>
          <c:tx>
            <c:strRef>
              <c:f>'Graphs and Analysis'!$H$34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Analysis'!$H$35:$H$68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12-F440-9EB3-A1E862AC842A}"/>
            </c:ext>
          </c:extLst>
        </c:ser>
        <c:ser>
          <c:idx val="6"/>
          <c:order val="6"/>
          <c:tx>
            <c:strRef>
              <c:f>'Graphs and Analysis'!$I$34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Analysis'!$I$35:$I$68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12-F440-9EB3-A1E862AC842A}"/>
            </c:ext>
          </c:extLst>
        </c:ser>
        <c:ser>
          <c:idx val="7"/>
          <c:order val="7"/>
          <c:tx>
            <c:strRef>
              <c:f>'Graphs and Analysis'!$J$34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Analysis'!$J$35:$J$68</c:f>
              <c:numCache>
                <c:formatCode>General</c:formatCode>
                <c:ptCount val="3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12-F440-9EB3-A1E862AC842A}"/>
            </c:ext>
          </c:extLst>
        </c:ser>
        <c:ser>
          <c:idx val="8"/>
          <c:order val="8"/>
          <c:tx>
            <c:strRef>
              <c:f>'Graphs and Analysis'!$K$34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Analysis'!$K$35:$K$68</c:f>
              <c:numCache>
                <c:formatCode>General</c:formatCode>
                <c:ptCount val="34"/>
                <c:pt idx="2">
                  <c:v>0</c:v>
                </c:pt>
                <c:pt idx="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E12-F440-9EB3-A1E862AC842A}"/>
            </c:ext>
          </c:extLst>
        </c:ser>
        <c:ser>
          <c:idx val="9"/>
          <c:order val="9"/>
          <c:tx>
            <c:strRef>
              <c:f>'Graphs and Analysis'!$L$34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Analysis'!$L$35:$L$68</c:f>
              <c:numCache>
                <c:formatCode>General</c:formatCode>
                <c:ptCount val="3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E12-F440-9EB3-A1E862AC842A}"/>
            </c:ext>
          </c:extLst>
        </c:ser>
        <c:ser>
          <c:idx val="10"/>
          <c:order val="10"/>
          <c:tx>
            <c:strRef>
              <c:f>'Graphs and Analysis'!$M$34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Analysis'!$M$35:$M$68</c:f>
              <c:numCache>
                <c:formatCode>General</c:formatCode>
                <c:ptCount val="34"/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E12-F440-9EB3-A1E862AC842A}"/>
            </c:ext>
          </c:extLst>
        </c:ser>
        <c:ser>
          <c:idx val="11"/>
          <c:order val="11"/>
          <c:tx>
            <c:strRef>
              <c:f>'Graphs and Analysis'!$N$34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Analysis'!$N$35:$N$68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E12-F440-9EB3-A1E862AC842A}"/>
            </c:ext>
          </c:extLst>
        </c:ser>
        <c:ser>
          <c:idx val="12"/>
          <c:order val="12"/>
          <c:tx>
            <c:strRef>
              <c:f>'Graphs and Analysis'!$O$34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Analysis'!$O$35:$O$68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E12-F440-9EB3-A1E862AC842A}"/>
            </c:ext>
          </c:extLst>
        </c:ser>
        <c:ser>
          <c:idx val="13"/>
          <c:order val="13"/>
          <c:tx>
            <c:strRef>
              <c:f>'Graphs and Analysis'!$P$34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'Graphs and Analysis'!$B$35:$B$68</c:f>
              <c:numCache>
                <c:formatCode>General</c:formatCode>
                <c:ptCount val="34"/>
              </c:numCache>
            </c:numRef>
          </c:xVal>
          <c:yVal>
            <c:numRef>
              <c:f>'Graphs and Analysis'!$P$35:$P$68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E12-F440-9EB3-A1E862AC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682783"/>
        <c:axId val="1289286351"/>
      </c:scatterChart>
      <c:valAx>
        <c:axId val="1756682783"/>
        <c:scaling>
          <c:orientation val="minMax"/>
          <c:max val="3.5000000000000003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86351"/>
        <c:crosses val="autoZero"/>
        <c:crossBetween val="midCat"/>
      </c:valAx>
      <c:valAx>
        <c:axId val="1289286351"/>
        <c:scaling>
          <c:orientation val="minMax"/>
          <c:max val="3.0000000000000009E-3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A/SQRT(V</a:t>
                </a:r>
                <a:r>
                  <a:rPr lang="en-US" sz="2400" b="1" baseline="-25000"/>
                  <a:t>a</a:t>
                </a:r>
                <a:r>
                  <a:rPr lang="en-US" sz="2400" b="1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82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457200</xdr:colOff>
      <xdr:row>7</xdr:row>
      <xdr:rowOff>196850</xdr:rowOff>
    </xdr:from>
    <xdr:ext cx="1003300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5C6E997-9B80-4440-A93B-F4F9EC2D1850}"/>
                </a:ext>
              </a:extLst>
            </xdr:cNvPr>
            <xdr:cNvSpPr txBox="1"/>
          </xdr:nvSpPr>
          <xdr:spPr>
            <a:xfrm>
              <a:off x="13373100" y="165735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b>
                        <m:sSubPr>
                          <m:ctrlPr>
                            <a:rPr lang="en-US" sz="11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𝑽</m:t>
                          </m:r>
                        </m:e>
                        <m:sub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𝒂</m:t>
                          </m:r>
                        </m:sub>
                      </m:sSub>
                    </m:e>
                  </m:rad>
                </m:oMath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5C6E997-9B80-4440-A93B-F4F9EC2D1850}"/>
                </a:ext>
              </a:extLst>
            </xdr:cNvPr>
            <xdr:cNvSpPr txBox="1"/>
          </xdr:nvSpPr>
          <xdr:spPr>
            <a:xfrm>
              <a:off x="13373100" y="165735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:r>
                <a:rPr lang="en-US" sz="1100" b="1" i="0">
                  <a:latin typeface="Cambria Math" panose="02040503050406030204" pitchFamily="18" charset="0"/>
                </a:rPr>
                <a:t>√(𝑽_𝒂 )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9</xdr:col>
      <xdr:colOff>165100</xdr:colOff>
      <xdr:row>7</xdr:row>
      <xdr:rowOff>190500</xdr:rowOff>
    </xdr:from>
    <xdr:ext cx="1003300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8F107D-5D3D-444C-8BC7-86BE328A02EB}"/>
                </a:ext>
              </a:extLst>
            </xdr:cNvPr>
            <xdr:cNvSpPr txBox="1"/>
          </xdr:nvSpPr>
          <xdr:spPr>
            <a:xfrm>
              <a:off x="11912600" y="165100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u(A/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b>
                        <m:sSubPr>
                          <m:ctrlPr>
                            <a:rPr lang="en-US" sz="11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𝑽</m:t>
                          </m:r>
                        </m:e>
                        <m:sub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𝒂</m:t>
                          </m:r>
                        </m:sub>
                      </m:sSub>
                    </m:e>
                  </m:rad>
                </m:oMath>
              </a14:m>
              <a:r>
                <a:rPr lang="en-US" sz="1100" b="1"/>
                <a:t>)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A8F107D-5D3D-444C-8BC7-86BE328A02EB}"/>
                </a:ext>
              </a:extLst>
            </xdr:cNvPr>
            <xdr:cNvSpPr txBox="1"/>
          </xdr:nvSpPr>
          <xdr:spPr>
            <a:xfrm>
              <a:off x="11912600" y="165100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u(A/</a:t>
              </a:r>
              <a:r>
                <a:rPr lang="en-US" sz="1100" b="1" i="0">
                  <a:latin typeface="Cambria Math" panose="02040503050406030204" pitchFamily="18" charset="0"/>
                </a:rPr>
                <a:t>√(𝑽_𝒂 )</a:t>
              </a:r>
              <a:r>
                <a:rPr lang="en-US" sz="1100" b="1"/>
                <a:t>)</a:t>
              </a:r>
            </a:p>
          </xdr:txBody>
        </xdr:sp>
      </mc:Fallback>
    </mc:AlternateContent>
    <xdr:clientData/>
  </xdr:oneCellAnchor>
  <xdr:oneCellAnchor>
    <xdr:from>
      <xdr:col>8</xdr:col>
      <xdr:colOff>457200</xdr:colOff>
      <xdr:row>17</xdr:row>
      <xdr:rowOff>6350</xdr:rowOff>
    </xdr:from>
    <xdr:ext cx="1003300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A7857C6-8B6D-B244-86BF-C0BD5930FE3A}"/>
                </a:ext>
              </a:extLst>
            </xdr:cNvPr>
            <xdr:cNvSpPr txBox="1"/>
          </xdr:nvSpPr>
          <xdr:spPr>
            <a:xfrm>
              <a:off x="15100300" y="168275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b>
                        <m:sSubPr>
                          <m:ctrlPr>
                            <a:rPr lang="en-US" sz="11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𝑽</m:t>
                          </m:r>
                        </m:e>
                        <m:sub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𝒂</m:t>
                          </m:r>
                        </m:sub>
                      </m:sSub>
                    </m:e>
                  </m:rad>
                </m:oMath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A7857C6-8B6D-B244-86BF-C0BD5930FE3A}"/>
                </a:ext>
              </a:extLst>
            </xdr:cNvPr>
            <xdr:cNvSpPr txBox="1"/>
          </xdr:nvSpPr>
          <xdr:spPr>
            <a:xfrm>
              <a:off x="15100300" y="168275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:r>
                <a:rPr lang="en-US" sz="1100" b="1" i="0">
                  <a:latin typeface="Cambria Math" panose="02040503050406030204" pitchFamily="18" charset="0"/>
                </a:rPr>
                <a:t>√(𝑽_𝒂 )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9</xdr:col>
      <xdr:colOff>190500</xdr:colOff>
      <xdr:row>16</xdr:row>
      <xdr:rowOff>203200</xdr:rowOff>
    </xdr:from>
    <xdr:ext cx="1003300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132EA73-1ADE-444C-BF27-6B4C134A0CF1}"/>
                </a:ext>
              </a:extLst>
            </xdr:cNvPr>
            <xdr:cNvSpPr txBox="1"/>
          </xdr:nvSpPr>
          <xdr:spPr>
            <a:xfrm>
              <a:off x="11938000" y="455930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u(A/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b>
                        <m:sSubPr>
                          <m:ctrlPr>
                            <a:rPr lang="en-US" sz="11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𝑽</m:t>
                          </m:r>
                        </m:e>
                        <m:sub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𝒂</m:t>
                          </m:r>
                        </m:sub>
                      </m:sSub>
                    </m:e>
                  </m:rad>
                </m:oMath>
              </a14:m>
              <a:r>
                <a:rPr lang="en-US" sz="1100" b="1"/>
                <a:t>)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132EA73-1ADE-444C-BF27-6B4C134A0CF1}"/>
                </a:ext>
              </a:extLst>
            </xdr:cNvPr>
            <xdr:cNvSpPr txBox="1"/>
          </xdr:nvSpPr>
          <xdr:spPr>
            <a:xfrm>
              <a:off x="11938000" y="4559300"/>
              <a:ext cx="100330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u(A/</a:t>
              </a:r>
              <a:r>
                <a:rPr lang="en-US" sz="1100" b="1" i="0">
                  <a:latin typeface="Cambria Math" panose="02040503050406030204" pitchFamily="18" charset="0"/>
                </a:rPr>
                <a:t>√(𝑽_𝒂 )</a:t>
              </a:r>
              <a:r>
                <a:rPr lang="en-US" sz="1100" b="1"/>
                <a:t>)</a:t>
              </a:r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184151</xdr:rowOff>
    </xdr:from>
    <xdr:ext cx="2501900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8DCFD30-4E86-5C41-9F38-058AD06C0B73}"/>
                </a:ext>
              </a:extLst>
            </xdr:cNvPr>
            <xdr:cNvSpPr txBox="1"/>
          </xdr:nvSpPr>
          <xdr:spPr>
            <a:xfrm>
              <a:off x="0" y="7689851"/>
              <a:ext cx="250190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num>
                                  <m:den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𝐻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</m:d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8DCFD30-4E86-5C41-9F38-058AD06C0B73}"/>
                </a:ext>
              </a:extLst>
            </xdr:cNvPr>
            <xdr:cNvSpPr txBox="1"/>
          </xdr:nvSpPr>
          <xdr:spPr>
            <a:xfrm>
              <a:off x="0" y="7689851"/>
              <a:ext cx="250190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𝑢(𝑋)=√((𝜕𝑋/𝜕𝑅)^2 𝑢^2 (𝑅)+(𝜕𝑋/𝜕𝐻)^2 𝑢^2 (𝐻)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101600</xdr:colOff>
      <xdr:row>37</xdr:row>
      <xdr:rowOff>50800</xdr:rowOff>
    </xdr:from>
    <xdr:ext cx="1612900" cy="3535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7225264-D62F-C744-9587-02973FACFB64}"/>
                </a:ext>
              </a:extLst>
            </xdr:cNvPr>
            <xdr:cNvSpPr txBox="1"/>
          </xdr:nvSpPr>
          <xdr:spPr>
            <a:xfrm>
              <a:off x="2654300" y="7759700"/>
              <a:ext cx="1612900" cy="3535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7225264-D62F-C744-9587-02973FACFB64}"/>
                </a:ext>
              </a:extLst>
            </xdr:cNvPr>
            <xdr:cNvSpPr txBox="1"/>
          </xdr:nvSpPr>
          <xdr:spPr>
            <a:xfrm>
              <a:off x="2654300" y="7759700"/>
              <a:ext cx="1612900" cy="3535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𝜕𝑋/𝜕𝑅=1−𝑅/√(𝑅^2−𝐻^2 )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165100</xdr:rowOff>
    </xdr:from>
    <xdr:ext cx="1155700" cy="36426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E380000-3092-384E-83E9-C9EED178BC89}"/>
                </a:ext>
              </a:extLst>
            </xdr:cNvPr>
            <xdr:cNvSpPr txBox="1"/>
          </xdr:nvSpPr>
          <xdr:spPr>
            <a:xfrm>
              <a:off x="0" y="8280400"/>
              <a:ext cx="1155700" cy="364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E380000-3092-384E-83E9-C9EED178BC89}"/>
                </a:ext>
              </a:extLst>
            </xdr:cNvPr>
            <xdr:cNvSpPr txBox="1"/>
          </xdr:nvSpPr>
          <xdr:spPr>
            <a:xfrm>
              <a:off x="0" y="8280400"/>
              <a:ext cx="1155700" cy="364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𝜕𝑋/𝜕𝐻=𝐻/√(𝑅^2−𝐻^2 )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1539875</xdr:colOff>
      <xdr:row>39</xdr:row>
      <xdr:rowOff>60326</xdr:rowOff>
    </xdr:from>
    <xdr:ext cx="4089400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574A43A-9370-4347-B6E1-30A6E1B307DF}"/>
                </a:ext>
              </a:extLst>
            </xdr:cNvPr>
            <xdr:cNvSpPr txBox="1"/>
          </xdr:nvSpPr>
          <xdr:spPr>
            <a:xfrm>
              <a:off x="1539875" y="8004176"/>
              <a:ext cx="408940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1−</m:t>
                                </m:r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𝑅</m:t>
                                    </m:r>
                                  </m:num>
                                  <m:den>
                                    <m:rad>
                                      <m:radPr>
                                        <m:degHide m:val="on"/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sSup>
                                          <m:sSup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p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sSup>
                                          <m:sSup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𝐻</m:t>
                                            </m:r>
                                          </m:e>
                                          <m:sup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e>
                                    </m:rad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𝐻</m:t>
                                    </m:r>
                                  </m:num>
                                  <m:den>
                                    <m:rad>
                                      <m:radPr>
                                        <m:degHide m:val="on"/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sSup>
                                          <m:sSup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𝑅</m:t>
                                            </m:r>
                                          </m:e>
                                          <m:sup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sSup>
                                          <m:sSup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𝐻</m:t>
                                            </m:r>
                                          </m:e>
                                          <m:sup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e>
                                    </m:rad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𝐻</m:t>
                            </m:r>
                          </m:e>
                        </m:d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574A43A-9370-4347-B6E1-30A6E1B307DF}"/>
                </a:ext>
              </a:extLst>
            </xdr:cNvPr>
            <xdr:cNvSpPr txBox="1"/>
          </xdr:nvSpPr>
          <xdr:spPr>
            <a:xfrm>
              <a:off x="1539875" y="8004176"/>
              <a:ext cx="408940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𝑢(𝑋)=√((1−𝑅/√(𝑅^2−𝐻^2 ))^2 𝑢^2 (𝑅)+(𝐻/√(𝑅^2−𝐻^2 ))^2 𝑢^2 (𝐻)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136525</xdr:rowOff>
    </xdr:from>
    <xdr:ext cx="3762374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72CEB2D-3250-ED42-91A3-C4E85C4E025F}"/>
                </a:ext>
              </a:extLst>
            </xdr:cNvPr>
            <xdr:cNvSpPr txBox="1"/>
          </xdr:nvSpPr>
          <xdr:spPr>
            <a:xfrm>
              <a:off x="0" y="9509125"/>
              <a:ext cx="3762374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𝑢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</m:t>
                        </m:r>
                      </m:den>
                    </m:f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𝐻𝑢</m:t>
                                </m:r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𝐻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</m:e>
                            </m:d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𝐵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72CEB2D-3250-ED42-91A3-C4E85C4E025F}"/>
                </a:ext>
              </a:extLst>
            </xdr:cNvPr>
            <xdr:cNvSpPr txBox="1"/>
          </xdr:nvSpPr>
          <xdr:spPr>
            <a:xfrm>
              <a:off x="0" y="9509125"/>
              <a:ext cx="3762374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𝑢(𝐴)=1/𝐴 √((𝐻𝑢(𝐻))^2+〖((𝐵−𝑋)𝑢(𝐵))〗^2+((𝐵−𝑋)𝑢(𝑋))^2 )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2</xdr:row>
      <xdr:rowOff>3175</xdr:rowOff>
    </xdr:from>
    <xdr:ext cx="1003300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258B90-DF0D-284E-BB52-D98681BE764C}"/>
                </a:ext>
              </a:extLst>
            </xdr:cNvPr>
            <xdr:cNvSpPr txBox="1"/>
          </xdr:nvSpPr>
          <xdr:spPr>
            <a:xfrm>
              <a:off x="5429250" y="412750"/>
              <a:ext cx="1003300" cy="204993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b>
                        <m:sSubPr>
                          <m:ctrlPr>
                            <a:rPr lang="en-US" sz="11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𝑽</m:t>
                          </m:r>
                        </m:e>
                        <m:sub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𝒂</m:t>
                          </m:r>
                        </m:sub>
                      </m:sSub>
                    </m:e>
                  </m:rad>
                </m:oMath>
              </a14:m>
              <a:r>
                <a:rPr lang="en-US" sz="1100" b="1"/>
                <a:t> versus </a:t>
              </a:r>
              <a:r>
                <a:rPr lang="en-US" sz="1100" b="1" i="1"/>
                <a:t>H</a:t>
              </a: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3258B90-DF0D-284E-BB52-D98681BE764C}"/>
                </a:ext>
              </a:extLst>
            </xdr:cNvPr>
            <xdr:cNvSpPr txBox="1"/>
          </xdr:nvSpPr>
          <xdr:spPr>
            <a:xfrm>
              <a:off x="5429250" y="412750"/>
              <a:ext cx="1003300" cy="204993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:r>
                <a:rPr lang="en-US" sz="1100" b="1" i="0">
                  <a:latin typeface="Cambria Math" panose="02040503050406030204" pitchFamily="18" charset="0"/>
                </a:rPr>
                <a:t>√(𝑽_𝒂 )</a:t>
              </a:r>
              <a:r>
                <a:rPr lang="en-US" sz="1100" b="1"/>
                <a:t> versus </a:t>
              </a:r>
              <a:r>
                <a:rPr lang="en-US" sz="1100" b="1" i="1"/>
                <a:t>H</a:t>
              </a:r>
            </a:p>
          </xdr:txBody>
        </xdr:sp>
      </mc:Fallback>
    </mc:AlternateContent>
    <xdr:clientData/>
  </xdr:oneCellAnchor>
  <xdr:twoCellAnchor>
    <xdr:from>
      <xdr:col>1</xdr:col>
      <xdr:colOff>400050</xdr:colOff>
      <xdr:row>3</xdr:row>
      <xdr:rowOff>158750</xdr:rowOff>
    </xdr:from>
    <xdr:to>
      <xdr:col>8</xdr:col>
      <xdr:colOff>635000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C7800C-DB49-C941-AED6-FB602A9ED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520700</xdr:colOff>
      <xdr:row>33</xdr:row>
      <xdr:rowOff>88900</xdr:rowOff>
    </xdr:from>
    <xdr:to>
      <xdr:col>8</xdr:col>
      <xdr:colOff>647700</xdr:colOff>
      <xdr:row>58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8D80C5-0CF1-D749-AF79-429A2D988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428625</xdr:colOff>
      <xdr:row>32</xdr:row>
      <xdr:rowOff>3175</xdr:rowOff>
    </xdr:from>
    <xdr:ext cx="1003300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3258B90-DF0D-284E-BB52-D98681BE764C}"/>
                </a:ext>
              </a:extLst>
            </xdr:cNvPr>
            <xdr:cNvSpPr txBox="1"/>
          </xdr:nvSpPr>
          <xdr:spPr>
            <a:xfrm>
              <a:off x="5457825" y="6432550"/>
              <a:ext cx="1003300" cy="204993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n-US" sz="11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b>
                        <m:sSubPr>
                          <m:ctrlPr>
                            <a:rPr lang="en-US" sz="11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𝑽</m:t>
                          </m:r>
                        </m:e>
                        <m:sub>
                          <m:r>
                            <a:rPr lang="en-US" sz="1100" b="1" i="1">
                              <a:latin typeface="Cambria Math" panose="02040503050406030204" pitchFamily="18" charset="0"/>
                            </a:rPr>
                            <m:t>𝒂</m:t>
                          </m:r>
                        </m:sub>
                      </m:sSub>
                    </m:e>
                  </m:rad>
                </m:oMath>
              </a14:m>
              <a:r>
                <a:rPr lang="en-US" sz="1100" b="1"/>
                <a:t> versus </a:t>
              </a:r>
              <a:r>
                <a:rPr lang="en-US" sz="1100" b="1" i="1"/>
                <a:t>H</a:t>
              </a: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3258B90-DF0D-284E-BB52-D98681BE764C}"/>
                </a:ext>
              </a:extLst>
            </xdr:cNvPr>
            <xdr:cNvSpPr txBox="1"/>
          </xdr:nvSpPr>
          <xdr:spPr>
            <a:xfrm>
              <a:off x="5457825" y="6432550"/>
              <a:ext cx="1003300" cy="204993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1"/>
                <a:t>A/</a:t>
              </a:r>
              <a:r>
                <a:rPr lang="en-US" sz="1100" b="1" i="0">
                  <a:latin typeface="Cambria Math" panose="02040503050406030204" pitchFamily="18" charset="0"/>
                </a:rPr>
                <a:t>√(𝑽_𝒂 )</a:t>
              </a:r>
              <a:r>
                <a:rPr lang="en-US" sz="1100" b="1"/>
                <a:t> versus </a:t>
              </a:r>
              <a:r>
                <a:rPr lang="en-US" sz="1100" b="1" i="1"/>
                <a:t>H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J11" sqref="J11"/>
    </sheetView>
  </sheetViews>
  <sheetFormatPr defaultColWidth="11" defaultRowHeight="15.75"/>
  <sheetData>
    <row r="1" spans="1:6">
      <c r="A1" s="2" t="s">
        <v>0</v>
      </c>
      <c r="B1" s="104" t="s">
        <v>1</v>
      </c>
      <c r="C1" s="105"/>
      <c r="D1" s="105"/>
      <c r="E1" s="105"/>
      <c r="F1" s="106"/>
    </row>
    <row r="2" spans="1:6">
      <c r="A2" s="3"/>
      <c r="B2" s="1"/>
      <c r="C2" s="1"/>
      <c r="D2" s="1"/>
      <c r="E2" s="1"/>
      <c r="F2" s="4"/>
    </row>
    <row r="3" spans="1:6">
      <c r="A3" s="5" t="s">
        <v>2</v>
      </c>
      <c r="B3" s="100"/>
      <c r="C3" s="100"/>
      <c r="D3" s="100"/>
      <c r="E3" s="100"/>
      <c r="F3" s="101"/>
    </row>
    <row r="4" spans="1:6">
      <c r="A4" s="5" t="s">
        <v>3</v>
      </c>
      <c r="B4" s="100"/>
      <c r="C4" s="100"/>
      <c r="D4" s="100"/>
      <c r="E4" s="100"/>
      <c r="F4" s="101"/>
    </row>
    <row r="5" spans="1:6">
      <c r="A5" s="5" t="s">
        <v>2</v>
      </c>
      <c r="B5" s="100"/>
      <c r="C5" s="100"/>
      <c r="D5" s="100"/>
      <c r="E5" s="100"/>
      <c r="F5" s="101"/>
    </row>
    <row r="6" spans="1:6">
      <c r="A6" s="5" t="s">
        <v>3</v>
      </c>
      <c r="B6" s="100"/>
      <c r="C6" s="100"/>
      <c r="D6" s="100"/>
      <c r="E6" s="100"/>
      <c r="F6" s="101"/>
    </row>
    <row r="7" spans="1:6">
      <c r="A7" s="5" t="s">
        <v>2</v>
      </c>
      <c r="B7" s="100"/>
      <c r="C7" s="100"/>
      <c r="D7" s="100"/>
      <c r="E7" s="100"/>
      <c r="F7" s="101"/>
    </row>
    <row r="8" spans="1:6">
      <c r="A8" s="5" t="s">
        <v>3</v>
      </c>
      <c r="B8" s="100"/>
      <c r="C8" s="100"/>
      <c r="D8" s="100"/>
      <c r="E8" s="100"/>
      <c r="F8" s="101"/>
    </row>
    <row r="9" spans="1:6">
      <c r="A9" s="5" t="s">
        <v>2</v>
      </c>
      <c r="B9" s="100"/>
      <c r="C9" s="100"/>
      <c r="D9" s="100"/>
      <c r="E9" s="100"/>
      <c r="F9" s="101"/>
    </row>
    <row r="10" spans="1:6">
      <c r="A10" s="5" t="s">
        <v>3</v>
      </c>
      <c r="B10" s="100"/>
      <c r="C10" s="100"/>
      <c r="D10" s="100"/>
      <c r="E10" s="100"/>
      <c r="F10" s="101"/>
    </row>
    <row r="11" spans="1:6">
      <c r="A11" s="5"/>
      <c r="B11" s="1"/>
      <c r="C11" s="1"/>
      <c r="D11" s="1"/>
      <c r="E11" s="1"/>
      <c r="F11" s="4"/>
    </row>
    <row r="12" spans="1:6">
      <c r="A12" s="5" t="s">
        <v>4</v>
      </c>
      <c r="B12" s="100"/>
      <c r="C12" s="100"/>
      <c r="D12" s="100"/>
      <c r="E12" s="100"/>
      <c r="F12" s="101"/>
    </row>
    <row r="13" spans="1:6">
      <c r="A13" s="5"/>
      <c r="B13" s="1"/>
      <c r="C13" s="1"/>
      <c r="D13" s="1"/>
      <c r="E13" s="1"/>
      <c r="F13" s="4"/>
    </row>
    <row r="14" spans="1:6" ht="16.5" thickBot="1">
      <c r="A14" s="6" t="s">
        <v>5</v>
      </c>
      <c r="B14" s="102"/>
      <c r="C14" s="102"/>
      <c r="D14" s="102"/>
      <c r="E14" s="102"/>
      <c r="F14" s="103"/>
    </row>
  </sheetData>
  <mergeCells count="11">
    <mergeCell ref="B7:F7"/>
    <mergeCell ref="B1:F1"/>
    <mergeCell ref="B3:F3"/>
    <mergeCell ref="B4:F4"/>
    <mergeCell ref="B5:F5"/>
    <mergeCell ref="B6:F6"/>
    <mergeCell ref="B8:F8"/>
    <mergeCell ref="B9:F9"/>
    <mergeCell ref="B10:F10"/>
    <mergeCell ref="B12:F12"/>
    <mergeCell ref="B14:F1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36" workbookViewId="0">
      <selection activeCell="G47" sqref="G47"/>
    </sheetView>
  </sheetViews>
  <sheetFormatPr defaultColWidth="11" defaultRowHeight="15.75"/>
  <cols>
    <col min="1" max="1" width="22.125" customWidth="1"/>
    <col min="2" max="2" width="11.375" customWidth="1"/>
    <col min="3" max="3" width="16.5" customWidth="1"/>
    <col min="4" max="4" width="15.125" customWidth="1"/>
    <col min="5" max="5" width="25.625" customWidth="1"/>
    <col min="6" max="6" width="11.5" customWidth="1"/>
    <col min="7" max="7" width="26.625" customWidth="1"/>
    <col min="8" max="8" width="10.375" customWidth="1"/>
    <col min="9" max="9" width="14.875" customWidth="1"/>
    <col min="10" max="10" width="13.875" customWidth="1"/>
  </cols>
  <sheetData>
    <row r="1" spans="1:10" ht="16.5" thickBot="1">
      <c r="A1" s="64"/>
      <c r="B1" s="65"/>
      <c r="C1" s="65"/>
      <c r="D1" s="66" t="s">
        <v>45</v>
      </c>
      <c r="E1" s="67" t="s">
        <v>46</v>
      </c>
      <c r="F1" s="9"/>
      <c r="G1" s="9"/>
      <c r="H1" s="9"/>
      <c r="I1" s="9"/>
      <c r="J1" s="9"/>
    </row>
    <row r="2" spans="1:10">
      <c r="A2" s="123" t="s">
        <v>6</v>
      </c>
      <c r="B2" s="124"/>
      <c r="C2" s="124"/>
      <c r="D2" s="68"/>
      <c r="E2" s="69"/>
      <c r="F2" s="9"/>
      <c r="G2" s="9"/>
      <c r="H2" s="9"/>
      <c r="I2" s="9"/>
      <c r="J2" s="9"/>
    </row>
    <row r="3" spans="1:10">
      <c r="A3" s="125" t="s">
        <v>8</v>
      </c>
      <c r="B3" s="126"/>
      <c r="C3" s="126"/>
      <c r="D3" s="96" t="s">
        <v>30</v>
      </c>
      <c r="E3" s="97" t="s">
        <v>30</v>
      </c>
      <c r="F3" s="9"/>
      <c r="G3" s="9"/>
      <c r="H3" s="9"/>
      <c r="I3" s="9"/>
      <c r="J3" s="9"/>
    </row>
    <row r="4" spans="1:10">
      <c r="A4" s="125" t="s">
        <v>12</v>
      </c>
      <c r="B4" s="126"/>
      <c r="C4" s="126"/>
      <c r="D4" s="68"/>
      <c r="E4" s="69"/>
      <c r="F4" s="9"/>
      <c r="G4" s="9"/>
      <c r="H4" s="9"/>
      <c r="I4" s="9"/>
      <c r="J4" s="9"/>
    </row>
    <row r="5" spans="1:10" ht="16.5" thickBot="1">
      <c r="A5" s="127" t="s">
        <v>7</v>
      </c>
      <c r="B5" s="128"/>
      <c r="C5" s="128"/>
      <c r="D5" s="98" t="s">
        <v>30</v>
      </c>
      <c r="E5" s="99" t="s">
        <v>30</v>
      </c>
      <c r="F5" s="9"/>
      <c r="G5" s="9"/>
      <c r="H5" s="9"/>
      <c r="I5" s="9"/>
      <c r="J5" s="9"/>
    </row>
    <row r="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16.5" thickBot="1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16.5" thickBot="1">
      <c r="A8" s="119" t="s">
        <v>18</v>
      </c>
      <c r="B8" s="120"/>
      <c r="C8" s="120"/>
      <c r="D8" s="120"/>
      <c r="E8" s="120"/>
      <c r="F8" s="120"/>
      <c r="G8" s="120"/>
      <c r="H8" s="120"/>
      <c r="I8" s="120"/>
      <c r="J8" s="121"/>
    </row>
    <row r="9" spans="1:10" ht="16.5" thickBot="1">
      <c r="A9" s="36" t="s">
        <v>9</v>
      </c>
      <c r="B9" s="36" t="s">
        <v>13</v>
      </c>
      <c r="C9" s="36" t="s">
        <v>10</v>
      </c>
      <c r="D9" s="36" t="s">
        <v>14</v>
      </c>
      <c r="E9" s="36" t="s">
        <v>11</v>
      </c>
      <c r="F9" s="36" t="s">
        <v>15</v>
      </c>
      <c r="G9" s="36" t="s">
        <v>16</v>
      </c>
      <c r="H9" s="36" t="s">
        <v>17</v>
      </c>
      <c r="I9" s="36"/>
      <c r="J9" s="36"/>
    </row>
    <row r="10" spans="1:10">
      <c r="A10" s="48">
        <v>5030</v>
      </c>
      <c r="B10" s="40"/>
      <c r="C10" s="41"/>
      <c r="D10" s="40"/>
      <c r="E10" s="42">
        <f>$D$4-SQRT($D$4^2-C10^2)</f>
        <v>0</v>
      </c>
      <c r="F10" s="76" t="e">
        <f>SQRT((1-$D$4/SQRT($D$4^2-C10^2))^2*$E$4^2+(C10/SQRT($D$4^2-C10^2))^2*D10^2)</f>
        <v>#DIV/0!</v>
      </c>
      <c r="G10" s="70">
        <f>SQRT(C10^2+($D$2-E10)^2)</f>
        <v>0</v>
      </c>
      <c r="H10" s="41"/>
      <c r="I10" s="43">
        <f>G10/SQRT(A10)</f>
        <v>0</v>
      </c>
      <c r="J10" s="77"/>
    </row>
    <row r="11" spans="1:10">
      <c r="A11" s="49">
        <v>4760</v>
      </c>
      <c r="B11" s="39"/>
      <c r="C11" s="38"/>
      <c r="D11" s="39"/>
      <c r="E11" s="14">
        <f t="shared" ref="E11:E15" si="0">$D$4-SQRT($D$4^2-C11^2)</f>
        <v>0</v>
      </c>
      <c r="F11" s="76" t="e">
        <f t="shared" ref="F11:F15" si="1">SQRT((1-$D$4/SQRT($D$4^2-C11^2))^2*$E$4^2+(C11/SQRT($D$4^2-C11^2))^2*D11^2)</f>
        <v>#DIV/0!</v>
      </c>
      <c r="G11" s="71">
        <f t="shared" ref="G11:G15" si="2">SQRT(C11^2+($D$2-E11)^2)</f>
        <v>0</v>
      </c>
      <c r="H11" s="38"/>
      <c r="I11" s="37">
        <f t="shared" ref="I11:I15" si="3">G11/SQRT(A11)</f>
        <v>0</v>
      </c>
      <c r="J11" s="78"/>
    </row>
    <row r="12" spans="1:10">
      <c r="A12" s="49">
        <v>4500</v>
      </c>
      <c r="B12" s="39"/>
      <c r="C12" s="38"/>
      <c r="D12" s="39"/>
      <c r="E12" s="14">
        <f t="shared" si="0"/>
        <v>0</v>
      </c>
      <c r="F12" s="76" t="e">
        <f t="shared" si="1"/>
        <v>#DIV/0!</v>
      </c>
      <c r="G12" s="71">
        <f t="shared" si="2"/>
        <v>0</v>
      </c>
      <c r="H12" s="38"/>
      <c r="I12" s="37">
        <f t="shared" si="3"/>
        <v>0</v>
      </c>
      <c r="J12" s="78"/>
    </row>
    <row r="13" spans="1:10">
      <c r="A13" s="49">
        <v>4010</v>
      </c>
      <c r="B13" s="38"/>
      <c r="C13" s="38"/>
      <c r="D13" s="39"/>
      <c r="E13" s="14">
        <f t="shared" si="0"/>
        <v>0</v>
      </c>
      <c r="F13" s="76" t="e">
        <f t="shared" si="1"/>
        <v>#DIV/0!</v>
      </c>
      <c r="G13" s="71">
        <f t="shared" si="2"/>
        <v>0</v>
      </c>
      <c r="H13" s="38"/>
      <c r="I13" s="37">
        <f t="shared" si="3"/>
        <v>0</v>
      </c>
      <c r="J13" s="78"/>
    </row>
    <row r="14" spans="1:10">
      <c r="A14" s="49">
        <v>3500</v>
      </c>
      <c r="B14" s="38"/>
      <c r="C14" s="38"/>
      <c r="D14" s="39"/>
      <c r="E14" s="14">
        <f t="shared" si="0"/>
        <v>0</v>
      </c>
      <c r="F14" s="76" t="e">
        <f t="shared" si="1"/>
        <v>#DIV/0!</v>
      </c>
      <c r="G14" s="71">
        <f t="shared" si="2"/>
        <v>0</v>
      </c>
      <c r="H14" s="38"/>
      <c r="I14" s="37">
        <f t="shared" si="3"/>
        <v>0</v>
      </c>
      <c r="J14" s="78"/>
    </row>
    <row r="15" spans="1:10" ht="16.5" thickBot="1">
      <c r="A15" s="50">
        <v>3100</v>
      </c>
      <c r="B15" s="45"/>
      <c r="C15" s="45"/>
      <c r="D15" s="44"/>
      <c r="E15" s="15">
        <f t="shared" si="0"/>
        <v>0</v>
      </c>
      <c r="F15" s="95" t="e">
        <f t="shared" si="1"/>
        <v>#DIV/0!</v>
      </c>
      <c r="G15" s="75">
        <f t="shared" si="2"/>
        <v>0</v>
      </c>
      <c r="H15" s="45"/>
      <c r="I15" s="46">
        <f t="shared" si="3"/>
        <v>0</v>
      </c>
      <c r="J15" s="79"/>
    </row>
    <row r="16" spans="1:10" ht="16.5" thickBot="1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16.5" thickBot="1">
      <c r="A17" s="119" t="s">
        <v>19</v>
      </c>
      <c r="B17" s="120"/>
      <c r="C17" s="120"/>
      <c r="D17" s="120"/>
      <c r="E17" s="120"/>
      <c r="F17" s="120"/>
      <c r="G17" s="120"/>
      <c r="H17" s="120"/>
      <c r="I17" s="120"/>
      <c r="J17" s="121"/>
    </row>
    <row r="18" spans="1:10" ht="16.5" thickBot="1">
      <c r="A18" s="16" t="s">
        <v>9</v>
      </c>
      <c r="B18" s="17" t="s">
        <v>13</v>
      </c>
      <c r="C18" s="13" t="s">
        <v>10</v>
      </c>
      <c r="D18" s="13" t="s">
        <v>14</v>
      </c>
      <c r="E18" s="13" t="s">
        <v>11</v>
      </c>
      <c r="F18" s="36" t="s">
        <v>15</v>
      </c>
      <c r="G18" s="13" t="s">
        <v>16</v>
      </c>
      <c r="H18" s="13" t="s">
        <v>17</v>
      </c>
      <c r="I18" s="13"/>
      <c r="J18" s="18"/>
    </row>
    <row r="19" spans="1:10">
      <c r="A19" s="48">
        <v>5030</v>
      </c>
      <c r="B19" s="40"/>
      <c r="C19" s="41"/>
      <c r="D19" s="47"/>
      <c r="E19" s="72">
        <f>$D$4-SQRT($D$4^2-C19^2)</f>
        <v>0</v>
      </c>
      <c r="F19" s="76" t="e">
        <f>SQRT((1-$D$4/SQRT($D$4^2-C19^2))^2*$E$4^2+(C10/SQRT($D$4^2-C10^2))^2*D19^2)</f>
        <v>#DIV/0!</v>
      </c>
      <c r="G19" s="70">
        <f>SQRT(C19^2+($D$2-E19)^2)</f>
        <v>0</v>
      </c>
      <c r="H19" s="80"/>
      <c r="I19" s="43">
        <f>G19/SQRT(A19)</f>
        <v>0</v>
      </c>
      <c r="J19" s="77"/>
    </row>
    <row r="20" spans="1:10">
      <c r="A20" s="49">
        <v>4760</v>
      </c>
      <c r="B20" s="39"/>
      <c r="C20" s="38"/>
      <c r="D20" s="10"/>
      <c r="E20" s="73">
        <f t="shared" ref="E20:E24" si="4">$D$4-SQRT($D$4^2-C20^2)</f>
        <v>0</v>
      </c>
      <c r="F20" s="76" t="e">
        <f t="shared" ref="F20:F24" si="5">SQRT((1-$D$4/SQRT($D$4^2-C20^2))^2*$E$4^2+(C11/SQRT($D$4^2-C11^2))^2*D20^2)</f>
        <v>#DIV/0!</v>
      </c>
      <c r="G20" s="71">
        <f t="shared" ref="G20:G24" si="6">SQRT(C20^2+($D$2-E20)^2)</f>
        <v>0</v>
      </c>
      <c r="H20" s="81"/>
      <c r="I20" s="37">
        <f t="shared" ref="I20:I24" si="7">G20/SQRT(A20)</f>
        <v>0</v>
      </c>
      <c r="J20" s="78"/>
    </row>
    <row r="21" spans="1:10">
      <c r="A21" s="49">
        <v>4500</v>
      </c>
      <c r="B21" s="39"/>
      <c r="C21" s="38"/>
      <c r="D21" s="10"/>
      <c r="E21" s="73">
        <f t="shared" si="4"/>
        <v>0</v>
      </c>
      <c r="F21" s="76" t="e">
        <f t="shared" si="5"/>
        <v>#DIV/0!</v>
      </c>
      <c r="G21" s="71">
        <f t="shared" si="6"/>
        <v>0</v>
      </c>
      <c r="H21" s="81"/>
      <c r="I21" s="37">
        <f t="shared" si="7"/>
        <v>0</v>
      </c>
      <c r="J21" s="78"/>
    </row>
    <row r="22" spans="1:10">
      <c r="A22" s="49">
        <v>4010</v>
      </c>
      <c r="B22" s="38"/>
      <c r="C22" s="38"/>
      <c r="D22" s="10"/>
      <c r="E22" s="73">
        <f t="shared" si="4"/>
        <v>0</v>
      </c>
      <c r="F22" s="76" t="e">
        <f t="shared" si="5"/>
        <v>#DIV/0!</v>
      </c>
      <c r="G22" s="71">
        <f t="shared" si="6"/>
        <v>0</v>
      </c>
      <c r="H22" s="81"/>
      <c r="I22" s="37">
        <f t="shared" si="7"/>
        <v>0</v>
      </c>
      <c r="J22" s="78"/>
    </row>
    <row r="23" spans="1:10">
      <c r="A23" s="49">
        <v>3500</v>
      </c>
      <c r="B23" s="38"/>
      <c r="C23" s="38"/>
      <c r="D23" s="10"/>
      <c r="E23" s="73">
        <f t="shared" si="4"/>
        <v>0</v>
      </c>
      <c r="F23" s="76" t="e">
        <f t="shared" si="5"/>
        <v>#DIV/0!</v>
      </c>
      <c r="G23" s="71">
        <f t="shared" si="6"/>
        <v>0</v>
      </c>
      <c r="H23" s="81"/>
      <c r="I23" s="37">
        <f t="shared" si="7"/>
        <v>0</v>
      </c>
      <c r="J23" s="78"/>
    </row>
    <row r="24" spans="1:10" ht="16.5" thickBot="1">
      <c r="A24" s="50">
        <v>3100</v>
      </c>
      <c r="B24" s="45"/>
      <c r="C24" s="45"/>
      <c r="D24" s="11"/>
      <c r="E24" s="74">
        <f t="shared" si="4"/>
        <v>0</v>
      </c>
      <c r="F24" s="95" t="e">
        <f t="shared" si="5"/>
        <v>#DIV/0!</v>
      </c>
      <c r="G24" s="75">
        <f t="shared" si="6"/>
        <v>0</v>
      </c>
      <c r="H24" s="82"/>
      <c r="I24" s="46">
        <f t="shared" si="7"/>
        <v>0</v>
      </c>
      <c r="J24" s="79"/>
    </row>
    <row r="25" spans="1:10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16.5" thickBot="1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16.5" thickBot="1">
      <c r="A27" s="116" t="s">
        <v>44</v>
      </c>
      <c r="B27" s="122"/>
      <c r="C27" s="122"/>
      <c r="D27" s="129"/>
      <c r="E27" s="9"/>
      <c r="F27" s="9"/>
      <c r="G27" s="9"/>
      <c r="H27" s="9"/>
      <c r="I27" s="9"/>
      <c r="J27" s="9"/>
    </row>
    <row r="28" spans="1:10">
      <c r="A28" s="107"/>
      <c r="B28" s="108"/>
      <c r="C28" s="108"/>
      <c r="D28" s="109"/>
      <c r="E28" s="9"/>
      <c r="F28" s="9"/>
      <c r="G28" s="9"/>
      <c r="H28" s="9"/>
      <c r="I28" s="9"/>
      <c r="J28" s="9"/>
    </row>
    <row r="29" spans="1:10">
      <c r="A29" s="110"/>
      <c r="B29" s="111"/>
      <c r="C29" s="111"/>
      <c r="D29" s="112"/>
      <c r="E29" s="9"/>
      <c r="F29" s="9"/>
      <c r="G29" s="9"/>
      <c r="H29" s="9"/>
      <c r="I29" s="9"/>
      <c r="J29" s="9"/>
    </row>
    <row r="30" spans="1:10">
      <c r="A30" s="110"/>
      <c r="B30" s="111"/>
      <c r="C30" s="111"/>
      <c r="D30" s="112"/>
      <c r="E30" s="9"/>
      <c r="F30" s="9"/>
      <c r="G30" s="9"/>
      <c r="H30" s="9"/>
      <c r="I30" s="9"/>
      <c r="J30" s="9"/>
    </row>
    <row r="31" spans="1:10">
      <c r="A31" s="110"/>
      <c r="B31" s="111"/>
      <c r="C31" s="111"/>
      <c r="D31" s="112"/>
      <c r="E31" s="9"/>
      <c r="F31" s="9"/>
      <c r="G31" s="9"/>
      <c r="H31" s="9"/>
      <c r="I31" s="9"/>
      <c r="J31" s="9"/>
    </row>
    <row r="32" spans="1:10">
      <c r="A32" s="110"/>
      <c r="B32" s="111"/>
      <c r="C32" s="111"/>
      <c r="D32" s="112"/>
      <c r="E32" s="9"/>
      <c r="F32" s="9"/>
      <c r="G32" s="9"/>
      <c r="H32" s="9"/>
      <c r="I32" s="9"/>
      <c r="J32" s="9"/>
    </row>
    <row r="33" spans="1:10" ht="16.5" thickBot="1">
      <c r="A33" s="113"/>
      <c r="B33" s="114"/>
      <c r="C33" s="114"/>
      <c r="D33" s="115"/>
      <c r="E33" s="9"/>
      <c r="F33" s="9"/>
      <c r="G33" s="9"/>
      <c r="H33" s="9"/>
      <c r="I33" s="9"/>
      <c r="J33" s="9"/>
    </row>
    <row r="34" spans="1:10">
      <c r="A34" s="12"/>
      <c r="B34" s="12"/>
      <c r="C34" s="12"/>
      <c r="D34" s="12"/>
      <c r="E34" s="9"/>
      <c r="F34" s="9"/>
      <c r="G34" s="9"/>
      <c r="H34" s="9"/>
      <c r="I34" s="9"/>
      <c r="J34" s="9"/>
    </row>
    <row r="35" spans="1:10" ht="16.5" thickBot="1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16.5" thickBot="1">
      <c r="A36" s="116" t="s">
        <v>20</v>
      </c>
      <c r="B36" s="122"/>
      <c r="C36" s="122"/>
      <c r="D36" s="122"/>
      <c r="E36" s="18"/>
      <c r="F36" s="9"/>
      <c r="G36" s="9"/>
      <c r="H36" s="9"/>
      <c r="I36" s="9"/>
      <c r="J36" s="9"/>
    </row>
    <row r="37" spans="1:10">
      <c r="A37" s="83" t="s">
        <v>21</v>
      </c>
      <c r="B37" s="84"/>
      <c r="C37" s="84"/>
      <c r="D37" s="84"/>
      <c r="E37" s="85"/>
      <c r="F37" s="9"/>
      <c r="G37" s="9"/>
      <c r="H37" s="9"/>
      <c r="I37" s="9"/>
      <c r="J37" s="9"/>
    </row>
    <row r="38" spans="1:10">
      <c r="A38" s="3"/>
      <c r="B38" s="52"/>
      <c r="C38" s="1"/>
      <c r="D38" s="52"/>
      <c r="E38" s="86"/>
      <c r="F38" s="9"/>
      <c r="G38" s="9"/>
      <c r="H38" s="9"/>
      <c r="I38" s="9"/>
      <c r="J38" s="9"/>
    </row>
    <row r="39" spans="1:10">
      <c r="A39" s="53"/>
      <c r="B39" s="52"/>
      <c r="C39" s="52"/>
      <c r="D39" s="52"/>
      <c r="E39" s="86"/>
      <c r="F39" s="9"/>
      <c r="G39" s="9"/>
      <c r="H39" s="9"/>
      <c r="I39" s="9"/>
      <c r="J39" s="9"/>
    </row>
    <row r="40" spans="1:10">
      <c r="A40" s="53"/>
      <c r="B40" s="52"/>
      <c r="C40" s="52"/>
      <c r="D40" s="52"/>
      <c r="E40" s="86"/>
      <c r="F40" s="9"/>
      <c r="G40" s="9"/>
      <c r="H40" s="9"/>
      <c r="I40" s="9"/>
      <c r="J40" s="9"/>
    </row>
    <row r="41" spans="1:10">
      <c r="A41" s="3"/>
      <c r="B41" s="1"/>
      <c r="C41" s="52"/>
      <c r="D41" s="52"/>
      <c r="E41" s="86"/>
      <c r="F41" s="9"/>
      <c r="G41" s="9"/>
      <c r="H41" s="9"/>
      <c r="I41" s="9"/>
      <c r="J41" s="9"/>
    </row>
    <row r="42" spans="1:10" ht="16.5" thickBot="1">
      <c r="A42" s="54"/>
      <c r="B42" s="55"/>
      <c r="C42" s="55"/>
      <c r="D42" s="55"/>
      <c r="E42" s="87"/>
      <c r="F42" s="9"/>
      <c r="G42" s="9"/>
      <c r="H42" s="9"/>
      <c r="I42" s="9"/>
      <c r="J42" s="9"/>
    </row>
    <row r="43" spans="1:10">
      <c r="A43" s="52"/>
      <c r="B43" s="52"/>
      <c r="C43" s="52"/>
      <c r="D43" s="52"/>
      <c r="E43" s="9"/>
      <c r="F43" s="9"/>
      <c r="G43" s="9"/>
      <c r="H43" s="9"/>
      <c r="I43" s="9"/>
      <c r="J43" s="9"/>
    </row>
    <row r="44" spans="1:10" ht="16.5" thickBot="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ht="16.5" thickBot="1">
      <c r="A45" s="116" t="s">
        <v>22</v>
      </c>
      <c r="B45" s="117"/>
      <c r="C45" s="117"/>
      <c r="D45" s="117"/>
      <c r="E45" s="118"/>
      <c r="F45" s="9"/>
      <c r="G45" s="9"/>
      <c r="H45" s="9"/>
      <c r="I45" s="9"/>
      <c r="J45" s="9"/>
    </row>
    <row r="46" spans="1:10">
      <c r="A46" s="83" t="s">
        <v>47</v>
      </c>
      <c r="B46" s="89"/>
      <c r="C46" s="89"/>
      <c r="D46" s="89"/>
      <c r="E46" s="90"/>
      <c r="F46" s="9"/>
      <c r="G46" s="9"/>
      <c r="H46" s="9"/>
      <c r="I46" s="9"/>
      <c r="J46" s="9"/>
    </row>
    <row r="47" spans="1:10">
      <c r="A47" s="51"/>
      <c r="B47" s="88"/>
      <c r="C47" s="88"/>
      <c r="D47" s="88"/>
      <c r="E47" s="91"/>
      <c r="F47" s="9"/>
      <c r="G47" s="9"/>
      <c r="H47" s="9"/>
      <c r="I47" s="9"/>
      <c r="J47" s="9"/>
    </row>
    <row r="48" spans="1:10">
      <c r="A48" s="51"/>
      <c r="B48" s="88"/>
      <c r="C48" s="88"/>
      <c r="D48" s="88"/>
      <c r="E48" s="91"/>
      <c r="F48" s="9"/>
      <c r="G48" s="9"/>
      <c r="H48" s="9"/>
      <c r="I48" s="9"/>
      <c r="J48" s="9"/>
    </row>
    <row r="49" spans="1:10">
      <c r="A49" s="51"/>
      <c r="B49" s="88"/>
      <c r="C49" s="88"/>
      <c r="D49" s="88"/>
      <c r="E49" s="91"/>
      <c r="F49" s="9"/>
      <c r="G49" s="9"/>
      <c r="H49" s="9"/>
      <c r="I49" s="9"/>
      <c r="J49" s="9"/>
    </row>
    <row r="50" spans="1:10">
      <c r="A50" s="51"/>
      <c r="B50" s="88"/>
      <c r="C50" s="88"/>
      <c r="D50" s="88"/>
      <c r="E50" s="91"/>
      <c r="F50" s="9"/>
      <c r="G50" s="9"/>
      <c r="H50" s="9"/>
      <c r="I50" s="9"/>
      <c r="J50" s="9"/>
    </row>
    <row r="51" spans="1:10" ht="16.5" thickBot="1">
      <c r="A51" s="92"/>
      <c r="B51" s="93"/>
      <c r="C51" s="93"/>
      <c r="D51" s="93"/>
      <c r="E51" s="94"/>
      <c r="F51" s="9"/>
      <c r="G51" s="9"/>
      <c r="H51" s="9"/>
      <c r="I51" s="9"/>
      <c r="J51" s="9"/>
    </row>
    <row r="52" spans="1:10" ht="16.5" thickBot="1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ht="16.5" thickBot="1">
      <c r="A53" s="116" t="s">
        <v>23</v>
      </c>
      <c r="B53" s="117"/>
      <c r="C53" s="117"/>
      <c r="D53" s="117"/>
      <c r="E53" s="118"/>
      <c r="F53" s="9"/>
      <c r="G53" s="9"/>
      <c r="H53" s="9"/>
      <c r="I53" s="9"/>
      <c r="J53" s="9"/>
    </row>
    <row r="54" spans="1:10">
      <c r="A54" s="83"/>
      <c r="B54" s="89"/>
      <c r="C54" s="89"/>
      <c r="D54" s="89"/>
      <c r="E54" s="90"/>
      <c r="F54" s="9"/>
      <c r="G54" s="9"/>
      <c r="H54" s="9"/>
      <c r="I54" s="9"/>
      <c r="J54" s="9"/>
    </row>
    <row r="55" spans="1:10">
      <c r="A55" s="51"/>
      <c r="B55" s="88"/>
      <c r="C55" s="88"/>
      <c r="D55" s="88"/>
      <c r="E55" s="91"/>
      <c r="F55" s="9"/>
      <c r="G55" s="9"/>
      <c r="H55" s="9"/>
      <c r="I55" s="9"/>
      <c r="J55" s="9"/>
    </row>
    <row r="56" spans="1:10">
      <c r="A56" s="51"/>
      <c r="B56" s="88"/>
      <c r="C56" s="88"/>
      <c r="D56" s="88"/>
      <c r="E56" s="91"/>
      <c r="F56" s="9"/>
      <c r="G56" s="9"/>
      <c r="H56" s="9"/>
      <c r="I56" s="9"/>
      <c r="J56" s="9"/>
    </row>
    <row r="57" spans="1:10">
      <c r="A57" s="51"/>
      <c r="B57" s="88"/>
      <c r="C57" s="88"/>
      <c r="D57" s="88"/>
      <c r="E57" s="91"/>
      <c r="F57" s="9"/>
      <c r="G57" s="9"/>
      <c r="H57" s="9"/>
      <c r="I57" s="9"/>
      <c r="J57" s="9"/>
    </row>
    <row r="58" spans="1:10">
      <c r="A58" s="51"/>
      <c r="B58" s="88"/>
      <c r="C58" s="88"/>
      <c r="D58" s="88"/>
      <c r="E58" s="91"/>
      <c r="F58" s="9"/>
      <c r="G58" s="9"/>
      <c r="H58" s="9"/>
      <c r="I58" s="9"/>
      <c r="J58" s="9"/>
    </row>
    <row r="59" spans="1:10" ht="16.5" thickBot="1">
      <c r="A59" s="92"/>
      <c r="B59" s="93"/>
      <c r="C59" s="93"/>
      <c r="D59" s="93"/>
      <c r="E59" s="94"/>
    </row>
  </sheetData>
  <sheetProtection algorithmName="SHA-512" hashValue="WXq/4ZzzXfWFHSydqgDDs1m218aTZnqfZJ1esno+BmBzrsd0WUefSJTDGA5Q7lqDiBXEAtI2qbD6bZ+mLNVBgw==" saltValue="PH4GpWX9/QyfT5T7UrCAYA==" spinCount="100000" sheet="1"/>
  <mergeCells count="11">
    <mergeCell ref="A2:C2"/>
    <mergeCell ref="A3:C3"/>
    <mergeCell ref="A4:C4"/>
    <mergeCell ref="A5:C5"/>
    <mergeCell ref="A27:D27"/>
    <mergeCell ref="A28:D33"/>
    <mergeCell ref="A45:E45"/>
    <mergeCell ref="A53:E53"/>
    <mergeCell ref="A8:J8"/>
    <mergeCell ref="A17:J17"/>
    <mergeCell ref="A36:D36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workbookViewId="0">
      <selection activeCell="K31" sqref="K31"/>
    </sheetView>
  </sheetViews>
  <sheetFormatPr defaultColWidth="11" defaultRowHeight="15.75"/>
  <cols>
    <col min="11" max="11" width="11.875" bestFit="1" customWidth="1"/>
    <col min="18" max="18" width="11.125" bestFit="1" customWidth="1"/>
  </cols>
  <sheetData>
    <row r="1" spans="1: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6.5" thickBot="1">
      <c r="A2" s="9"/>
      <c r="B2" s="130" t="s">
        <v>42</v>
      </c>
      <c r="C2" s="130"/>
      <c r="D2" s="130"/>
      <c r="E2" s="130"/>
      <c r="F2" s="130"/>
      <c r="G2" s="130"/>
      <c r="H2" s="130"/>
      <c r="I2" s="130"/>
      <c r="J2" s="21"/>
      <c r="K2" s="21"/>
      <c r="L2" s="21"/>
      <c r="M2" s="21"/>
      <c r="N2" s="21"/>
      <c r="O2" s="21"/>
    </row>
    <row r="3" spans="1:15" ht="16.5" thickBot="1">
      <c r="A3" s="9"/>
      <c r="B3" s="116" t="s">
        <v>24</v>
      </c>
      <c r="C3" s="117"/>
      <c r="D3" s="117"/>
      <c r="E3" s="117"/>
      <c r="F3" s="117"/>
      <c r="G3" s="117"/>
      <c r="H3" s="117"/>
      <c r="I3" s="118"/>
      <c r="J3" s="22"/>
      <c r="K3" s="22"/>
      <c r="L3" s="22"/>
      <c r="M3" s="22"/>
      <c r="N3" s="22"/>
      <c r="O3" s="22"/>
    </row>
    <row r="4" spans="1:15">
      <c r="A4" s="9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>
      <c r="A5" s="9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>
      <c r="A6" s="9"/>
      <c r="B6" s="23"/>
      <c r="C6" s="23"/>
      <c r="D6" s="23"/>
      <c r="E6" s="23"/>
      <c r="F6" s="23"/>
      <c r="G6" s="23"/>
      <c r="H6" s="23"/>
      <c r="I6" s="23"/>
      <c r="J6" s="24" t="s">
        <v>25</v>
      </c>
      <c r="K6" s="25"/>
      <c r="L6" s="25" t="s">
        <v>26</v>
      </c>
      <c r="M6" s="26" t="s">
        <v>36</v>
      </c>
      <c r="N6" s="27"/>
      <c r="O6" s="28"/>
    </row>
    <row r="7" spans="1:15">
      <c r="A7" s="9"/>
      <c r="B7" s="23"/>
      <c r="C7" s="23"/>
      <c r="D7" s="23"/>
      <c r="E7" s="23"/>
      <c r="F7" s="23"/>
      <c r="G7" s="23"/>
      <c r="H7" s="23"/>
      <c r="I7" s="23"/>
      <c r="J7" s="25" t="s">
        <v>27</v>
      </c>
      <c r="K7" s="25" t="e">
        <f>SLOPE(Data!$I$10:$I$15, Data!$C$10:$C$15)</f>
        <v>#DIV/0!</v>
      </c>
      <c r="L7" s="25" t="e">
        <f>IF((Data!J10^2+(Data!D10*$K$7)^2)&gt;0,1/(Data!J10^2+(Data!D10*$K$7)^2),"#N/A")</f>
        <v>#DIV/0!</v>
      </c>
      <c r="M7" s="131" t="s">
        <v>43</v>
      </c>
      <c r="N7" s="132"/>
      <c r="O7" s="132"/>
    </row>
    <row r="8" spans="1:15">
      <c r="A8" s="9"/>
      <c r="B8" s="23"/>
      <c r="C8" s="23"/>
      <c r="D8" s="23"/>
      <c r="E8" s="23"/>
      <c r="F8" s="23"/>
      <c r="G8" s="23"/>
      <c r="H8" s="23"/>
      <c r="I8" s="23"/>
      <c r="J8" s="25" t="s">
        <v>28</v>
      </c>
      <c r="K8" s="25" t="e">
        <f>SUM($L$7:$L$12)*SUMPRODUCT($L$7:$L$12,Data!$C$10:$C$15,Data!$C$10:$C$15)-(SUMPRODUCT($L$7:$L$12,Data!$C$10:$C$15))^2</f>
        <v>#DIV/0!</v>
      </c>
      <c r="L8" s="25" t="e">
        <f>IF((Data!J11^2+(Data!D11*$K$7)^2)&gt;0,1/(Data!J11^2+(Data!D11*$K$7)^2),"#N/A")</f>
        <v>#DIV/0!</v>
      </c>
      <c r="M8" s="23"/>
      <c r="N8" s="23"/>
      <c r="O8" s="23"/>
    </row>
    <row r="9" spans="1:15">
      <c r="A9" s="9"/>
      <c r="B9" s="23"/>
      <c r="C9" s="23"/>
      <c r="D9" s="23"/>
      <c r="E9" s="23"/>
      <c r="F9" s="23"/>
      <c r="G9" s="23"/>
      <c r="H9" s="23"/>
      <c r="I9" s="23"/>
      <c r="J9" s="25"/>
      <c r="K9" s="25"/>
      <c r="L9" s="25" t="e">
        <f>IF((Data!J12^2+(Data!D12*$K$7)^2)&gt;0,1/(Data!J12^2+(Data!D12*$K$7)^2),"#N/A")</f>
        <v>#DIV/0!</v>
      </c>
      <c r="M9" s="23"/>
      <c r="N9" s="23"/>
      <c r="O9" s="23"/>
    </row>
    <row r="10" spans="1:15">
      <c r="A10" s="9"/>
      <c r="B10" s="23"/>
      <c r="C10" s="23"/>
      <c r="D10" s="23"/>
      <c r="E10" s="23"/>
      <c r="F10" s="23"/>
      <c r="G10" s="23"/>
      <c r="H10" s="23"/>
      <c r="I10" s="23"/>
      <c r="J10" s="25"/>
      <c r="K10" s="25"/>
      <c r="L10" s="25" t="e">
        <f>IF((Data!J13^2+(Data!D13*$K$7)^2)&gt;0,1/(Data!J13^2+(Data!D13*$K$7)^2),"#N/A")</f>
        <v>#DIV/0!</v>
      </c>
      <c r="M10" s="23"/>
      <c r="N10" s="23"/>
      <c r="O10" s="23"/>
    </row>
    <row r="11" spans="1:15">
      <c r="A11" s="9"/>
      <c r="B11" s="23"/>
      <c r="C11" s="23"/>
      <c r="D11" s="23"/>
      <c r="E11" s="23"/>
      <c r="F11" s="23"/>
      <c r="G11" s="23"/>
      <c r="H11" s="23"/>
      <c r="I11" s="23"/>
      <c r="J11" s="25"/>
      <c r="K11" s="25"/>
      <c r="L11" s="25" t="e">
        <f>IF((Data!J14^2+(Data!D14*$K$7)^2)&gt;0,1/(Data!J14^2+(Data!D14*$K$7)^2),"#N/A")</f>
        <v>#DIV/0!</v>
      </c>
      <c r="M11" s="23"/>
      <c r="N11" s="23"/>
      <c r="O11" s="23"/>
    </row>
    <row r="12" spans="1:15">
      <c r="A12" s="9"/>
      <c r="B12" s="23"/>
      <c r="C12" s="23"/>
      <c r="D12" s="23"/>
      <c r="E12" s="23"/>
      <c r="F12" s="23"/>
      <c r="G12" s="23"/>
      <c r="H12" s="23"/>
      <c r="I12" s="23"/>
      <c r="J12" s="25"/>
      <c r="K12" s="25"/>
      <c r="L12" s="25" t="e">
        <f>IF((Data!J15^2+(Data!D15*$K$7)^2)&gt;0,1/(Data!J15^2+(Data!D15*$K$7)^2),"#N/A")</f>
        <v>#DIV/0!</v>
      </c>
      <c r="M12" s="23"/>
      <c r="N12" s="23"/>
      <c r="O12" s="23"/>
    </row>
    <row r="13" spans="1:15">
      <c r="A13" s="9"/>
      <c r="B13" s="23"/>
      <c r="C13" s="23"/>
      <c r="D13" s="23"/>
      <c r="E13" s="23"/>
      <c r="F13" s="23"/>
      <c r="G13" s="23"/>
      <c r="H13" s="23"/>
      <c r="I13" s="23"/>
      <c r="J13" s="25"/>
      <c r="K13" s="25"/>
      <c r="L13" s="25"/>
      <c r="M13" s="23"/>
      <c r="N13" s="23" t="s">
        <v>37</v>
      </c>
      <c r="O13" s="23"/>
    </row>
    <row r="14" spans="1:15">
      <c r="A14" s="9"/>
      <c r="B14" s="23"/>
      <c r="C14" s="23"/>
      <c r="D14" s="23"/>
      <c r="E14" s="23"/>
      <c r="F14" s="23"/>
      <c r="G14" s="23"/>
      <c r="H14" s="23"/>
      <c r="I14" s="23"/>
      <c r="J14" s="25"/>
      <c r="K14" s="25"/>
      <c r="L14" s="25"/>
      <c r="M14" s="23"/>
      <c r="N14" s="23"/>
      <c r="O14" s="23"/>
    </row>
    <row r="15" spans="1:15">
      <c r="A15" s="9"/>
      <c r="B15" s="23"/>
      <c r="C15" s="23"/>
      <c r="D15" s="23"/>
      <c r="E15" s="23"/>
      <c r="F15" s="23"/>
      <c r="G15" s="23"/>
      <c r="H15" s="23"/>
      <c r="I15" s="23"/>
      <c r="J15" s="25"/>
      <c r="K15" s="25"/>
      <c r="L15" s="25"/>
      <c r="M15" s="23"/>
      <c r="N15" s="23"/>
      <c r="O15" s="23"/>
    </row>
    <row r="16" spans="1:15">
      <c r="A16" s="9"/>
      <c r="B16" s="23"/>
      <c r="C16" s="23"/>
      <c r="D16" s="23"/>
      <c r="E16" s="23"/>
      <c r="F16" s="23"/>
      <c r="G16" s="23"/>
      <c r="H16" s="23"/>
      <c r="I16" s="23"/>
      <c r="J16" s="25"/>
      <c r="K16" s="25"/>
      <c r="L16" s="25"/>
      <c r="M16" s="23"/>
      <c r="N16" s="23"/>
      <c r="O16" s="23"/>
    </row>
    <row r="17" spans="1:15">
      <c r="A17" s="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>
      <c r="A18" s="9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>
      <c r="A19" s="9"/>
      <c r="B19" s="23"/>
      <c r="C19" s="23"/>
      <c r="D19" s="23"/>
      <c r="E19" s="23"/>
      <c r="F19" s="23"/>
      <c r="G19" s="23"/>
      <c r="H19" s="23"/>
      <c r="I19" s="23"/>
      <c r="J19" s="133" t="s">
        <v>29</v>
      </c>
      <c r="K19" s="134"/>
      <c r="L19" s="135"/>
      <c r="M19" s="23"/>
      <c r="N19" s="23"/>
      <c r="O19" s="23"/>
    </row>
    <row r="20" spans="1:15">
      <c r="A20" s="9"/>
      <c r="B20" s="23"/>
      <c r="C20" s="23"/>
      <c r="D20" s="23"/>
      <c r="E20" s="23"/>
      <c r="F20" s="23"/>
      <c r="G20" s="23"/>
      <c r="H20" s="23"/>
      <c r="I20" s="23"/>
      <c r="J20" s="29"/>
      <c r="K20" s="30" t="s">
        <v>30</v>
      </c>
      <c r="L20" s="30" t="s">
        <v>31</v>
      </c>
      <c r="M20" s="23"/>
      <c r="N20" s="23"/>
      <c r="O20" s="23"/>
    </row>
    <row r="21" spans="1:15">
      <c r="A21" s="9"/>
      <c r="B21" s="23"/>
      <c r="C21" s="23"/>
      <c r="D21" s="23"/>
      <c r="E21" s="23"/>
      <c r="F21" s="23"/>
      <c r="G21" s="23"/>
      <c r="H21" s="23"/>
      <c r="I21" s="23"/>
      <c r="J21" s="31" t="s">
        <v>32</v>
      </c>
      <c r="K21" s="32" t="e">
        <f>(SUM($L$7:$L$12)*SUMPRODUCT(Data!$I$10:$I$15,Data!$C$10:$C$15,$L$7:$L$12)-SUMPRODUCT(Data!$C$10:$C$15,$L$7:$L$12)*SUMPRODUCT(Data!$I$10:$I$15,$L$7:$L$12))/$K$8</f>
        <v>#DIV/0!</v>
      </c>
      <c r="L21" s="32" t="e">
        <f>(SUMPRODUCT(Data!$C$10:$C$15,Data!$C$10:$C$15,$L$7:$L$12)*SUMPRODUCT(Data!$I$10:$I$15,$L$7:$L$12)-SUMPRODUCT(Data!$C$10:$C$15,$L$7:$L$12)*SUMPRODUCT(Data!$C$10:$C$15,Data!$I$10:$I$15,$L$7:$L$12))/$K$8</f>
        <v>#DIV/0!</v>
      </c>
      <c r="M21" s="23"/>
      <c r="N21" s="23"/>
      <c r="O21" s="23"/>
    </row>
    <row r="22" spans="1:15">
      <c r="A22" s="9"/>
      <c r="B22" s="23"/>
      <c r="C22" s="23"/>
      <c r="D22" s="23"/>
      <c r="E22" s="23"/>
      <c r="F22" s="23"/>
      <c r="G22" s="23"/>
      <c r="H22" s="23"/>
      <c r="I22" s="23"/>
      <c r="J22" s="31" t="s">
        <v>33</v>
      </c>
      <c r="K22" s="32" t="e">
        <f>SQRT(SUM($L$7:$L$12)/$K$8)</f>
        <v>#DIV/0!</v>
      </c>
      <c r="L22" s="32" t="e">
        <f>SQRT(SUMPRODUCT(Data!$C$10:$C$15,Data!$C$10:$C$15,$L$7:$L$12)/$K$8)</f>
        <v>#DIV/0!</v>
      </c>
      <c r="M22" s="23"/>
      <c r="N22" s="23"/>
      <c r="O22" s="23"/>
    </row>
    <row r="23" spans="1:15">
      <c r="A23" s="9"/>
      <c r="B23" s="23"/>
      <c r="C23" s="23"/>
      <c r="D23" s="23"/>
      <c r="E23" s="23"/>
      <c r="F23" s="23"/>
      <c r="G23" s="23"/>
      <c r="H23" s="23"/>
      <c r="I23" s="23"/>
      <c r="J23" s="33" t="s">
        <v>34</v>
      </c>
      <c r="K23" s="34" t="str">
        <f>IF(SUM(X:X)&gt;0,"WARNING: large uncertainty in x. Consider swapping x and y.",IF(COUNTA($L$7:$L$16)&lt;COUNTA(Data!$C$10:$C$15),"WARNING: you must unprotect the sheet and then extend columns S and T to at least the length of the data array.","OK"))</f>
        <v>OK</v>
      </c>
      <c r="L23" s="23"/>
      <c r="M23" s="23"/>
      <c r="N23" s="23"/>
      <c r="O23" s="23"/>
    </row>
    <row r="24" spans="1:15">
      <c r="A24" s="9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>
      <c r="A25" s="9"/>
      <c r="B25" s="23"/>
      <c r="C25" s="23"/>
      <c r="D25" s="23"/>
      <c r="E25" s="23"/>
      <c r="F25" s="23"/>
      <c r="G25" s="23"/>
      <c r="H25" s="23"/>
      <c r="I25" s="23"/>
      <c r="J25" s="35"/>
      <c r="K25" s="35"/>
      <c r="L25" s="23"/>
      <c r="M25" s="23"/>
      <c r="N25" s="23"/>
      <c r="O25" s="23"/>
    </row>
    <row r="26" spans="1:15">
      <c r="A26" s="9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>
      <c r="A27" s="9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>
      <c r="A28" s="9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>
      <c r="A29" s="9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5">
      <c r="A30" s="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>
      <c r="A31" s="9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16.5" thickBot="1">
      <c r="A32" s="9"/>
      <c r="B32" s="130" t="s">
        <v>42</v>
      </c>
      <c r="C32" s="130"/>
      <c r="D32" s="130"/>
      <c r="E32" s="130"/>
      <c r="F32" s="130"/>
      <c r="G32" s="130"/>
      <c r="H32" s="130"/>
      <c r="I32" s="130"/>
      <c r="J32" s="21"/>
      <c r="K32" s="21"/>
      <c r="L32" s="21"/>
      <c r="M32" s="21"/>
      <c r="N32" s="21"/>
      <c r="O32" s="21"/>
    </row>
    <row r="33" spans="1:15" ht="16.5" thickBot="1">
      <c r="A33" s="9"/>
      <c r="B33" s="116" t="s">
        <v>35</v>
      </c>
      <c r="C33" s="117"/>
      <c r="D33" s="117"/>
      <c r="E33" s="117"/>
      <c r="F33" s="117"/>
      <c r="G33" s="117"/>
      <c r="H33" s="117"/>
      <c r="I33" s="118"/>
      <c r="J33" s="22"/>
      <c r="K33" s="22"/>
      <c r="L33" s="22"/>
      <c r="M33" s="22"/>
      <c r="N33" s="22"/>
      <c r="O33" s="22"/>
    </row>
    <row r="34" spans="1:15">
      <c r="A34" s="9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5">
      <c r="A35" s="9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1:15">
      <c r="A36" s="9"/>
      <c r="B36" s="23"/>
      <c r="C36" s="23"/>
      <c r="D36" s="23"/>
      <c r="E36" s="23"/>
      <c r="F36" s="23"/>
      <c r="G36" s="23"/>
      <c r="H36" s="23"/>
      <c r="I36" s="23"/>
      <c r="J36" s="24" t="s">
        <v>25</v>
      </c>
      <c r="K36" s="25"/>
      <c r="L36" s="25" t="s">
        <v>26</v>
      </c>
      <c r="M36" s="26" t="s">
        <v>36</v>
      </c>
      <c r="N36" s="27"/>
      <c r="O36" s="28"/>
    </row>
    <row r="37" spans="1:15">
      <c r="A37" s="9"/>
      <c r="B37" s="23"/>
      <c r="C37" s="23"/>
      <c r="D37" s="23"/>
      <c r="E37" s="23"/>
      <c r="F37" s="23"/>
      <c r="G37" s="23"/>
      <c r="H37" s="23"/>
      <c r="I37" s="23"/>
      <c r="J37" s="25" t="s">
        <v>27</v>
      </c>
      <c r="K37" s="25" t="e">
        <f>SLOPE(Data!$I$19:$I$24, Data!$C$19:$C$24)</f>
        <v>#DIV/0!</v>
      </c>
      <c r="L37" s="25" t="e">
        <f>IF((Data!J19^2+(Data!D19*$K$37)^2)&gt;0,1/(Data!J19^2+(Data!D19*$K$37)^2),"#N/A")</f>
        <v>#DIV/0!</v>
      </c>
      <c r="M37" s="131" t="s">
        <v>43</v>
      </c>
      <c r="N37" s="132"/>
      <c r="O37" s="132"/>
    </row>
    <row r="38" spans="1:15">
      <c r="A38" s="9"/>
      <c r="B38" s="23"/>
      <c r="C38" s="23"/>
      <c r="D38" s="23"/>
      <c r="E38" s="23"/>
      <c r="F38" s="23"/>
      <c r="G38" s="23"/>
      <c r="H38" s="23"/>
      <c r="I38" s="23"/>
      <c r="J38" s="25" t="s">
        <v>28</v>
      </c>
      <c r="K38" s="25" t="e">
        <f>SUM($L$37:$L$42)*SUMPRODUCT($L$37:$L$42,Data!$C$19:$C$24,Data!$C$19:$C$24)-(SUMPRODUCT($L$37:$L$42,Data!$C$19:$C$24))^2</f>
        <v>#DIV/0!</v>
      </c>
      <c r="L38" s="25" t="e">
        <f>IF((Data!J20^2+(Data!D20*$K$37)^2)&gt;0,1/(Data!J20^2+(Data!D20*$K$37)^2),"#N/A")</f>
        <v>#DIV/0!</v>
      </c>
      <c r="M38" s="26"/>
      <c r="N38" s="27"/>
      <c r="O38" s="28"/>
    </row>
    <row r="39" spans="1:15">
      <c r="A39" s="9"/>
      <c r="B39" s="23"/>
      <c r="C39" s="23"/>
      <c r="D39" s="23"/>
      <c r="E39" s="23"/>
      <c r="F39" s="23"/>
      <c r="G39" s="23"/>
      <c r="H39" s="23"/>
      <c r="I39" s="23"/>
      <c r="J39" s="25"/>
      <c r="K39" s="25"/>
      <c r="L39" s="25" t="e">
        <f>IF((Data!J21^2+(Data!D21*$K$37)^2)&gt;0,1/(Data!J21^2+(Data!D21*$K$37)^2),"#N/A")</f>
        <v>#DIV/0!</v>
      </c>
      <c r="M39" s="26"/>
      <c r="N39" s="28"/>
      <c r="O39" s="28"/>
    </row>
    <row r="40" spans="1:15">
      <c r="A40" s="9"/>
      <c r="B40" s="23"/>
      <c r="C40" s="23"/>
      <c r="D40" s="23"/>
      <c r="E40" s="23"/>
      <c r="F40" s="23"/>
      <c r="G40" s="23"/>
      <c r="H40" s="23"/>
      <c r="I40" s="23"/>
      <c r="J40" s="25"/>
      <c r="K40" s="25"/>
      <c r="L40" s="25" t="e">
        <f>IF((Data!J22^2+(Data!D22*$K$37)^2)&gt;0,1/(Data!J22^2+(Data!D22*$K$37)^2),"#N/A")</f>
        <v>#DIV/0!</v>
      </c>
      <c r="M40" s="23"/>
      <c r="N40" s="23"/>
      <c r="O40" s="23"/>
    </row>
    <row r="41" spans="1:15">
      <c r="A41" s="9"/>
      <c r="B41" s="23"/>
      <c r="C41" s="23"/>
      <c r="D41" s="23"/>
      <c r="E41" s="23"/>
      <c r="F41" s="23"/>
      <c r="G41" s="23"/>
      <c r="H41" s="23"/>
      <c r="I41" s="23"/>
      <c r="J41" s="25"/>
      <c r="K41" s="25"/>
      <c r="L41" s="25" t="e">
        <f>IF((Data!J23^2+(Data!D23*$K$37)^2)&gt;0,1/(Data!J23^2+(Data!D23*$K$37)^2),"#N/A")</f>
        <v>#DIV/0!</v>
      </c>
      <c r="M41" s="23"/>
      <c r="N41" s="23"/>
      <c r="O41" s="23"/>
    </row>
    <row r="42" spans="1:15">
      <c r="A42" s="9"/>
      <c r="B42" s="23"/>
      <c r="C42" s="23"/>
      <c r="D42" s="23"/>
      <c r="E42" s="23"/>
      <c r="F42" s="23"/>
      <c r="G42" s="23"/>
      <c r="H42" s="23"/>
      <c r="I42" s="23"/>
      <c r="J42" s="25"/>
      <c r="K42" s="25"/>
      <c r="L42" s="25" t="e">
        <f>IF((Data!J24^2+(Data!D24*$K$37)^2)&gt;0,1/(Data!J24^2+(Data!D24*$K$37)^2),"#N/A")</f>
        <v>#DIV/0!</v>
      </c>
      <c r="M42" s="23"/>
      <c r="N42" s="23"/>
      <c r="O42" s="23"/>
    </row>
    <row r="43" spans="1:15">
      <c r="A43" s="9"/>
      <c r="B43" s="23"/>
      <c r="C43" s="23"/>
      <c r="D43" s="23"/>
      <c r="E43" s="23"/>
      <c r="F43" s="23"/>
      <c r="G43" s="23"/>
      <c r="H43" s="23"/>
      <c r="I43" s="23"/>
      <c r="J43" s="25"/>
      <c r="K43" s="25"/>
      <c r="L43" s="25"/>
      <c r="M43" s="23"/>
      <c r="N43" s="23"/>
      <c r="O43" s="23"/>
    </row>
    <row r="44" spans="1:15">
      <c r="A44" s="9"/>
      <c r="B44" s="23"/>
      <c r="C44" s="23"/>
      <c r="D44" s="23"/>
      <c r="E44" s="23"/>
      <c r="F44" s="23"/>
      <c r="G44" s="23"/>
      <c r="H44" s="23"/>
      <c r="I44" s="23"/>
      <c r="J44" s="25"/>
      <c r="K44" s="25"/>
      <c r="L44" s="25"/>
      <c r="M44" s="23"/>
      <c r="N44" s="23"/>
      <c r="O44" s="23"/>
    </row>
    <row r="45" spans="1:15">
      <c r="A45" s="9"/>
      <c r="B45" s="23"/>
      <c r="C45" s="23"/>
      <c r="D45" s="23"/>
      <c r="E45" s="23"/>
      <c r="F45" s="23"/>
      <c r="G45" s="23"/>
      <c r="H45" s="23"/>
      <c r="I45" s="23"/>
      <c r="J45" s="25"/>
      <c r="K45" s="25"/>
      <c r="L45" s="25"/>
      <c r="M45" s="23"/>
      <c r="N45" s="23"/>
      <c r="O45" s="23"/>
    </row>
    <row r="46" spans="1:15">
      <c r="A46" s="9"/>
      <c r="B46" s="23"/>
      <c r="C46" s="23"/>
      <c r="D46" s="23"/>
      <c r="E46" s="23"/>
      <c r="F46" s="23"/>
      <c r="G46" s="23"/>
      <c r="H46" s="23"/>
      <c r="I46" s="23"/>
      <c r="J46" s="25"/>
      <c r="K46" s="25"/>
      <c r="L46" s="25"/>
      <c r="M46" s="23"/>
      <c r="N46" s="23"/>
      <c r="O46" s="23"/>
    </row>
    <row r="47" spans="1:15">
      <c r="A47" s="9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</row>
    <row r="48" spans="1:15">
      <c r="A48" s="9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</row>
    <row r="49" spans="1:19">
      <c r="A49" s="9"/>
      <c r="B49" s="23"/>
      <c r="C49" s="23"/>
      <c r="D49" s="23"/>
      <c r="E49" s="23"/>
      <c r="F49" s="23"/>
      <c r="G49" s="23"/>
      <c r="H49" s="23"/>
      <c r="I49" s="23"/>
      <c r="J49" s="133" t="s">
        <v>29</v>
      </c>
      <c r="K49" s="134"/>
      <c r="L49" s="135"/>
      <c r="M49" s="23"/>
      <c r="N49" s="23"/>
      <c r="O49" s="23"/>
    </row>
    <row r="50" spans="1:19">
      <c r="A50" s="9"/>
      <c r="B50" s="23"/>
      <c r="C50" s="23"/>
      <c r="D50" s="23"/>
      <c r="E50" s="23"/>
      <c r="F50" s="23"/>
      <c r="G50" s="23"/>
      <c r="H50" s="23"/>
      <c r="I50" s="23"/>
      <c r="J50" s="29"/>
      <c r="K50" s="30" t="s">
        <v>30</v>
      </c>
      <c r="L50" s="30" t="s">
        <v>31</v>
      </c>
      <c r="M50" s="23"/>
      <c r="N50" s="23"/>
      <c r="O50" s="23"/>
    </row>
    <row r="51" spans="1:19">
      <c r="A51" s="9"/>
      <c r="B51" s="23"/>
      <c r="C51" s="23"/>
      <c r="D51" s="23"/>
      <c r="E51" s="23"/>
      <c r="F51" s="23"/>
      <c r="G51" s="23"/>
      <c r="H51" s="23"/>
      <c r="I51" s="23"/>
      <c r="J51" s="31" t="s">
        <v>32</v>
      </c>
      <c r="K51" s="32" t="e">
        <f>(SUM($L$37:$L$42)*SUMPRODUCT(Data!$I$19:$I$24,Data!$C$19:$C$24,$L$37:$L$42)-SUMPRODUCT(Data!$C$19:$C$24,$L$37:$L$42)*SUMPRODUCT(Data!$I$19:$I$24,$L$37:$L$42))/$K$38</f>
        <v>#DIV/0!</v>
      </c>
      <c r="L51" s="32" t="e">
        <f>(SUMPRODUCT(Data!$C$19:$C$24,Data!$C$19:$C$24,$L$37:$L$42)*SUMPRODUCT(Data!$I$19:$I$24,$L$37:$L$42)-SUMPRODUCT(Data!$C$19:$C$24,$L$37:$L$42)*SUMPRODUCT(Data!$C$19:$C$24,Data!$I$19:$I$24,$L$37:$L$42))/$K$38</f>
        <v>#DIV/0!</v>
      </c>
      <c r="M51" s="23"/>
      <c r="N51" s="23"/>
      <c r="O51" s="23"/>
    </row>
    <row r="52" spans="1:19">
      <c r="A52" s="9"/>
      <c r="B52" s="23"/>
      <c r="C52" s="23"/>
      <c r="D52" s="23"/>
      <c r="E52" s="23"/>
      <c r="F52" s="23"/>
      <c r="G52" s="23"/>
      <c r="H52" s="23"/>
      <c r="I52" s="23"/>
      <c r="J52" s="31" t="s">
        <v>33</v>
      </c>
      <c r="K52" s="32" t="e">
        <f>SQRT(SUM($L$37:$L$42)/$K$38)</f>
        <v>#DIV/0!</v>
      </c>
      <c r="L52" s="32" t="e">
        <f>SQRT(SUMPRODUCT(Data!$C$19:$C$24,Data!$C$19:$C$24,$L$37:$L$42)/$K$8)</f>
        <v>#DIV/0!</v>
      </c>
      <c r="M52" s="23"/>
      <c r="N52" s="23"/>
      <c r="O52" s="23"/>
    </row>
    <row r="53" spans="1:19">
      <c r="A53" s="9"/>
      <c r="B53" s="23"/>
      <c r="C53" s="23"/>
      <c r="D53" s="23"/>
      <c r="E53" s="23"/>
      <c r="F53" s="23"/>
      <c r="G53" s="23"/>
      <c r="H53" s="23"/>
      <c r="I53" s="23"/>
      <c r="J53" s="33" t="s">
        <v>34</v>
      </c>
      <c r="K53" s="34" t="str">
        <f>IF(SUM(X:X)&gt;0,"WARNING: large uncertainty in x. Consider swapping x and y.",IF(COUNTA($L$37:$L$46)&lt;COUNTA(Data!$C$19:$C$24),"WARNING: you must unprotect the sheet and then extend columns S and T to at least the length of the data array.","OK"))</f>
        <v>OK</v>
      </c>
      <c r="L53" s="23"/>
      <c r="M53" s="23"/>
      <c r="N53" s="23"/>
      <c r="O53" s="23"/>
    </row>
    <row r="54" spans="1:19">
      <c r="A54" s="9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</row>
    <row r="55" spans="1:19">
      <c r="A55" s="9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  <row r="56" spans="1:19">
      <c r="A56" s="9"/>
      <c r="B56" s="23"/>
      <c r="C56" s="23"/>
      <c r="D56" s="23"/>
      <c r="E56" s="23"/>
      <c r="F56" s="23"/>
      <c r="G56" s="23"/>
      <c r="H56" s="23"/>
      <c r="I56" s="23"/>
      <c r="J56" s="35"/>
      <c r="K56" s="35"/>
      <c r="L56" s="23"/>
      <c r="M56" s="23"/>
      <c r="N56" s="23"/>
      <c r="O56" s="23"/>
    </row>
    <row r="57" spans="1:19">
      <c r="A57" s="9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</row>
    <row r="58" spans="1:19">
      <c r="A58" s="9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 spans="1:19">
      <c r="A59" s="9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</row>
    <row r="60" spans="1:19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9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9" ht="16.5" thickBo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9" ht="16.5" thickBot="1">
      <c r="A63" s="116" t="s">
        <v>39</v>
      </c>
      <c r="B63" s="117"/>
      <c r="C63" s="117"/>
      <c r="D63" s="117"/>
      <c r="E63" s="117"/>
      <c r="F63" s="117"/>
      <c r="G63" s="117"/>
      <c r="H63" s="117"/>
      <c r="I63" s="118"/>
      <c r="J63" s="9"/>
      <c r="K63" s="9"/>
      <c r="L63" s="9"/>
      <c r="M63" s="9"/>
      <c r="N63" s="19"/>
      <c r="O63" s="19"/>
      <c r="P63" s="8"/>
      <c r="Q63" s="8"/>
      <c r="R63" s="8"/>
      <c r="S63" s="8"/>
    </row>
    <row r="64" spans="1:19">
      <c r="A64" s="56"/>
      <c r="B64" s="57"/>
      <c r="C64" s="57"/>
      <c r="D64" s="57"/>
      <c r="E64" s="57"/>
      <c r="F64" s="57"/>
      <c r="G64" s="57"/>
      <c r="H64" s="57"/>
      <c r="I64" s="58"/>
      <c r="J64" s="9"/>
      <c r="K64" s="9"/>
      <c r="L64" s="9"/>
      <c r="M64" s="9"/>
      <c r="N64" s="19"/>
      <c r="O64" s="19"/>
      <c r="P64" s="8"/>
      <c r="Q64" s="8"/>
      <c r="R64" s="8"/>
      <c r="S64" s="8"/>
    </row>
    <row r="65" spans="1:19">
      <c r="A65" s="59"/>
      <c r="B65" s="20"/>
      <c r="C65" s="20"/>
      <c r="D65" s="20"/>
      <c r="E65" s="20"/>
      <c r="F65" s="20"/>
      <c r="G65" s="20"/>
      <c r="H65" s="20"/>
      <c r="I65" s="60"/>
      <c r="J65" s="9"/>
      <c r="K65" s="9"/>
      <c r="L65" s="9"/>
      <c r="M65" s="9"/>
      <c r="N65" s="19"/>
      <c r="O65" s="19"/>
      <c r="P65" s="8"/>
      <c r="Q65" s="8"/>
      <c r="R65" s="8"/>
      <c r="S65" s="8"/>
    </row>
    <row r="66" spans="1:19">
      <c r="A66" s="59"/>
      <c r="B66" s="20"/>
      <c r="C66" s="20"/>
      <c r="D66" s="20"/>
      <c r="E66" s="20"/>
      <c r="F66" s="20"/>
      <c r="G66" s="20"/>
      <c r="H66" s="20"/>
      <c r="I66" s="60"/>
      <c r="J66" s="9"/>
      <c r="K66" s="9"/>
      <c r="L66" s="9"/>
      <c r="M66" s="9"/>
      <c r="N66" s="19"/>
      <c r="O66" s="19"/>
      <c r="P66" s="8"/>
      <c r="Q66" s="8"/>
      <c r="R66" s="8"/>
      <c r="S66" s="8"/>
    </row>
    <row r="67" spans="1:19">
      <c r="A67" s="59"/>
      <c r="B67" s="20"/>
      <c r="C67" s="20"/>
      <c r="D67" s="20"/>
      <c r="E67" s="20"/>
      <c r="F67" s="20"/>
      <c r="G67" s="20"/>
      <c r="H67" s="20"/>
      <c r="I67" s="60"/>
      <c r="J67" s="9"/>
      <c r="K67" s="9"/>
      <c r="L67" s="9"/>
      <c r="M67" s="9"/>
      <c r="N67" s="19"/>
      <c r="O67" s="19"/>
      <c r="P67" s="8"/>
      <c r="Q67" s="8"/>
      <c r="R67" s="8"/>
      <c r="S67" s="8"/>
    </row>
    <row r="68" spans="1:19">
      <c r="A68" s="59"/>
      <c r="B68" s="20"/>
      <c r="C68" s="20"/>
      <c r="D68" s="20"/>
      <c r="E68" s="20"/>
      <c r="F68" s="20"/>
      <c r="G68" s="20"/>
      <c r="H68" s="20"/>
      <c r="I68" s="60"/>
      <c r="J68" s="9"/>
      <c r="K68" s="9"/>
      <c r="L68" s="9"/>
      <c r="M68" s="9"/>
      <c r="N68" s="9"/>
      <c r="O68" s="9"/>
    </row>
    <row r="69" spans="1:19">
      <c r="A69" s="59"/>
      <c r="B69" s="20"/>
      <c r="C69" s="20"/>
      <c r="D69" s="20"/>
      <c r="E69" s="20"/>
      <c r="F69" s="20"/>
      <c r="G69" s="20"/>
      <c r="H69" s="20"/>
      <c r="I69" s="60"/>
      <c r="J69" s="9"/>
      <c r="K69" s="9"/>
      <c r="L69" s="9"/>
      <c r="M69" s="9"/>
      <c r="N69" s="9"/>
      <c r="O69" s="9"/>
    </row>
    <row r="70" spans="1:19">
      <c r="A70" s="59"/>
      <c r="B70" s="20"/>
      <c r="C70" s="20"/>
      <c r="D70" s="20"/>
      <c r="E70" s="20"/>
      <c r="F70" s="20"/>
      <c r="G70" s="20"/>
      <c r="H70" s="20"/>
      <c r="I70" s="60"/>
      <c r="J70" s="9"/>
      <c r="K70" s="9"/>
      <c r="L70" s="9"/>
      <c r="M70" s="9"/>
      <c r="N70" s="9"/>
      <c r="O70" s="9"/>
    </row>
    <row r="71" spans="1:19">
      <c r="A71" s="59"/>
      <c r="B71" s="20"/>
      <c r="C71" s="20"/>
      <c r="D71" s="20"/>
      <c r="E71" s="20"/>
      <c r="F71" s="20"/>
      <c r="G71" s="20"/>
      <c r="H71" s="20"/>
      <c r="I71" s="60"/>
      <c r="J71" s="9"/>
      <c r="K71" s="9"/>
      <c r="L71" s="9"/>
      <c r="M71" s="9"/>
      <c r="N71" s="9"/>
      <c r="O71" s="9"/>
    </row>
    <row r="72" spans="1:19">
      <c r="A72" s="59"/>
      <c r="B72" s="20"/>
      <c r="C72" s="20"/>
      <c r="D72" s="20"/>
      <c r="E72" s="20"/>
      <c r="F72" s="20"/>
      <c r="G72" s="20"/>
      <c r="H72" s="20"/>
      <c r="I72" s="60"/>
      <c r="J72" s="9"/>
      <c r="K72" s="9"/>
      <c r="L72" s="9"/>
      <c r="M72" s="9"/>
      <c r="N72" s="9"/>
      <c r="O72" s="9"/>
    </row>
    <row r="73" spans="1:19" ht="16.5" thickBot="1">
      <c r="A73" s="61"/>
      <c r="B73" s="62"/>
      <c r="C73" s="62"/>
      <c r="D73" s="62"/>
      <c r="E73" s="62"/>
      <c r="F73" s="62"/>
      <c r="G73" s="62"/>
      <c r="H73" s="62"/>
      <c r="I73" s="63"/>
      <c r="J73" s="9"/>
      <c r="K73" s="9"/>
      <c r="L73" s="9"/>
      <c r="M73" s="9"/>
      <c r="N73" s="9"/>
      <c r="O73" s="9"/>
    </row>
    <row r="74" spans="1:19">
      <c r="A74" s="20"/>
      <c r="B74" s="20"/>
      <c r="C74" s="20"/>
      <c r="D74" s="20"/>
      <c r="E74" s="20"/>
      <c r="F74" s="20"/>
      <c r="G74" s="20"/>
      <c r="H74" s="20"/>
      <c r="I74" s="20"/>
      <c r="J74" s="9"/>
      <c r="K74" s="9"/>
      <c r="L74" s="9"/>
      <c r="M74" s="9"/>
      <c r="N74" s="9"/>
      <c r="O74" s="9"/>
    </row>
    <row r="75" spans="1:19" ht="16.5" thickBo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9" ht="16.5" thickBot="1">
      <c r="A76" s="116" t="s">
        <v>40</v>
      </c>
      <c r="B76" s="117"/>
      <c r="C76" s="117"/>
      <c r="D76" s="117"/>
      <c r="E76" s="117"/>
      <c r="F76" s="117"/>
      <c r="G76" s="117"/>
      <c r="H76" s="117"/>
      <c r="I76" s="118"/>
      <c r="J76" s="9"/>
      <c r="K76" s="9"/>
      <c r="L76" s="9"/>
      <c r="M76" s="9"/>
      <c r="N76" s="9"/>
      <c r="O76" s="9"/>
    </row>
    <row r="77" spans="1:19">
      <c r="A77" s="56"/>
      <c r="B77" s="57"/>
      <c r="C77" s="57"/>
      <c r="D77" s="57"/>
      <c r="E77" s="57"/>
      <c r="F77" s="57"/>
      <c r="G77" s="57"/>
      <c r="H77" s="57"/>
      <c r="I77" s="58"/>
      <c r="J77" s="9"/>
      <c r="K77" s="9"/>
      <c r="L77" s="9"/>
      <c r="M77" s="9"/>
      <c r="N77" s="9"/>
      <c r="O77" s="9"/>
    </row>
    <row r="78" spans="1:19">
      <c r="A78" s="59"/>
      <c r="B78" s="20"/>
      <c r="C78" s="20"/>
      <c r="D78" s="20"/>
      <c r="E78" s="20"/>
      <c r="F78" s="20"/>
      <c r="G78" s="20"/>
      <c r="H78" s="20"/>
      <c r="I78" s="60"/>
      <c r="J78" s="9"/>
      <c r="K78" s="9"/>
      <c r="L78" s="9"/>
      <c r="M78" s="9"/>
      <c r="N78" s="9"/>
      <c r="O78" s="9"/>
    </row>
    <row r="79" spans="1:19">
      <c r="A79" s="59"/>
      <c r="B79" s="20"/>
      <c r="C79" s="20"/>
      <c r="D79" s="20"/>
      <c r="E79" s="20"/>
      <c r="F79" s="20"/>
      <c r="G79" s="20"/>
      <c r="H79" s="20"/>
      <c r="I79" s="60"/>
      <c r="J79" s="9"/>
      <c r="K79" s="9"/>
      <c r="L79" s="9"/>
      <c r="M79" s="9"/>
      <c r="N79" s="9"/>
      <c r="O79" s="9"/>
    </row>
    <row r="80" spans="1:19">
      <c r="A80" s="59"/>
      <c r="B80" s="20"/>
      <c r="C80" s="20"/>
      <c r="D80" s="20"/>
      <c r="E80" s="20"/>
      <c r="F80" s="20"/>
      <c r="G80" s="20"/>
      <c r="H80" s="20"/>
      <c r="I80" s="60"/>
      <c r="J80" s="9"/>
      <c r="K80" s="9"/>
      <c r="L80" s="9"/>
      <c r="M80" s="9"/>
      <c r="N80" s="9"/>
      <c r="O80" s="9"/>
    </row>
    <row r="81" spans="1:15">
      <c r="A81" s="59"/>
      <c r="B81" s="20"/>
      <c r="C81" s="20"/>
      <c r="D81" s="20"/>
      <c r="E81" s="20"/>
      <c r="F81" s="20"/>
      <c r="G81" s="20"/>
      <c r="H81" s="20"/>
      <c r="I81" s="60"/>
      <c r="J81" s="9"/>
      <c r="K81" s="9"/>
      <c r="L81" s="9"/>
      <c r="M81" s="9"/>
      <c r="N81" s="9"/>
      <c r="O81" s="9"/>
    </row>
    <row r="82" spans="1:15">
      <c r="A82" s="59"/>
      <c r="B82" s="20"/>
      <c r="C82" s="20"/>
      <c r="D82" s="20"/>
      <c r="E82" s="20"/>
      <c r="F82" s="20"/>
      <c r="G82" s="20"/>
      <c r="H82" s="20"/>
      <c r="I82" s="60"/>
      <c r="J82" s="9"/>
      <c r="K82" s="9"/>
      <c r="L82" s="9"/>
      <c r="M82" s="9"/>
      <c r="N82" s="9"/>
      <c r="O82" s="9"/>
    </row>
    <row r="83" spans="1:15">
      <c r="A83" s="59"/>
      <c r="B83" s="20"/>
      <c r="C83" s="20"/>
      <c r="D83" s="20"/>
      <c r="E83" s="20"/>
      <c r="F83" s="20"/>
      <c r="G83" s="20"/>
      <c r="H83" s="20"/>
      <c r="I83" s="60"/>
      <c r="J83" s="9"/>
      <c r="K83" s="9"/>
      <c r="L83" s="9"/>
      <c r="M83" s="9"/>
      <c r="N83" s="9"/>
      <c r="O83" s="9"/>
    </row>
    <row r="84" spans="1:15">
      <c r="A84" s="59"/>
      <c r="B84" s="20"/>
      <c r="C84" s="20"/>
      <c r="D84" s="20"/>
      <c r="E84" s="20"/>
      <c r="F84" s="20"/>
      <c r="G84" s="20"/>
      <c r="H84" s="20"/>
      <c r="I84" s="60"/>
      <c r="J84" s="9"/>
      <c r="K84" s="9"/>
      <c r="L84" s="9"/>
      <c r="M84" s="9"/>
      <c r="N84" s="9"/>
      <c r="O84" s="9"/>
    </row>
    <row r="85" spans="1:15">
      <c r="A85" s="59"/>
      <c r="B85" s="20"/>
      <c r="C85" s="20"/>
      <c r="D85" s="20"/>
      <c r="E85" s="20"/>
      <c r="F85" s="20"/>
      <c r="G85" s="20"/>
      <c r="H85" s="20"/>
      <c r="I85" s="60"/>
      <c r="J85" s="9"/>
      <c r="K85" s="9"/>
      <c r="L85" s="9"/>
      <c r="M85" s="9"/>
      <c r="N85" s="9"/>
      <c r="O85" s="9"/>
    </row>
    <row r="86" spans="1:15" ht="16.5" thickBot="1">
      <c r="A86" s="61"/>
      <c r="B86" s="62"/>
      <c r="C86" s="62"/>
      <c r="D86" s="62"/>
      <c r="E86" s="62"/>
      <c r="F86" s="62"/>
      <c r="G86" s="62"/>
      <c r="H86" s="62"/>
      <c r="I86" s="63"/>
      <c r="J86" s="9"/>
      <c r="K86" s="9"/>
      <c r="L86" s="9"/>
      <c r="M86" s="9"/>
      <c r="N86" s="9"/>
      <c r="O86" s="9"/>
    </row>
    <row r="87" spans="1:15">
      <c r="A87" s="20"/>
      <c r="B87" s="20"/>
      <c r="C87" s="20"/>
      <c r="D87" s="20"/>
      <c r="E87" s="20"/>
      <c r="F87" s="20"/>
      <c r="G87" s="20"/>
      <c r="H87" s="20"/>
      <c r="I87" s="20"/>
      <c r="J87" s="9"/>
      <c r="K87" s="9"/>
      <c r="L87" s="9"/>
      <c r="M87" s="9"/>
      <c r="N87" s="9"/>
      <c r="O87" s="9"/>
    </row>
    <row r="88" spans="1:15" ht="16.5" thickBo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16.5" thickBot="1">
      <c r="A89" s="116" t="s">
        <v>41</v>
      </c>
      <c r="B89" s="117"/>
      <c r="C89" s="117"/>
      <c r="D89" s="117"/>
      <c r="E89" s="117"/>
      <c r="F89" s="117"/>
      <c r="G89" s="117"/>
      <c r="H89" s="117"/>
      <c r="I89" s="118"/>
      <c r="J89" s="9"/>
      <c r="K89" s="9"/>
      <c r="L89" s="9"/>
      <c r="M89" s="9"/>
      <c r="N89" s="9"/>
      <c r="O89" s="9"/>
    </row>
    <row r="90" spans="1:15">
      <c r="A90" s="56"/>
      <c r="B90" s="57"/>
      <c r="C90" s="57"/>
      <c r="D90" s="57"/>
      <c r="E90" s="57"/>
      <c r="F90" s="57"/>
      <c r="G90" s="57"/>
      <c r="H90" s="57"/>
      <c r="I90" s="58"/>
      <c r="J90" s="9"/>
      <c r="K90" s="9"/>
      <c r="L90" s="9"/>
      <c r="M90" s="9"/>
      <c r="N90" s="9"/>
      <c r="O90" s="9"/>
    </row>
    <row r="91" spans="1:15">
      <c r="A91" s="59"/>
      <c r="B91" s="20"/>
      <c r="C91" s="20"/>
      <c r="D91" s="20"/>
      <c r="E91" s="20"/>
      <c r="F91" s="20"/>
      <c r="G91" s="20"/>
      <c r="H91" s="20"/>
      <c r="I91" s="60"/>
      <c r="J91" s="9"/>
      <c r="K91" s="9"/>
      <c r="L91" s="9"/>
      <c r="M91" s="9"/>
      <c r="N91" s="9"/>
      <c r="O91" s="9"/>
    </row>
    <row r="92" spans="1:15">
      <c r="A92" s="59"/>
      <c r="B92" s="20"/>
      <c r="C92" s="20"/>
      <c r="D92" s="20"/>
      <c r="E92" s="20"/>
      <c r="F92" s="20"/>
      <c r="G92" s="20"/>
      <c r="H92" s="20"/>
      <c r="I92" s="60"/>
      <c r="J92" s="9"/>
      <c r="K92" s="9"/>
      <c r="L92" s="9"/>
      <c r="M92" s="9"/>
      <c r="N92" s="9"/>
      <c r="O92" s="9"/>
    </row>
    <row r="93" spans="1:15">
      <c r="A93" s="59"/>
      <c r="B93" s="20"/>
      <c r="C93" s="20"/>
      <c r="D93" s="20"/>
      <c r="E93" s="20"/>
      <c r="F93" s="20"/>
      <c r="G93" s="20"/>
      <c r="H93" s="20"/>
      <c r="I93" s="60"/>
      <c r="J93" s="9"/>
      <c r="K93" s="9"/>
      <c r="L93" s="9"/>
      <c r="M93" s="9"/>
      <c r="N93" s="9"/>
      <c r="O93" s="9"/>
    </row>
    <row r="94" spans="1:15">
      <c r="A94" s="59"/>
      <c r="B94" s="20"/>
      <c r="C94" s="20"/>
      <c r="D94" s="20"/>
      <c r="E94" s="20"/>
      <c r="F94" s="20"/>
      <c r="G94" s="20"/>
      <c r="H94" s="20"/>
      <c r="I94" s="60"/>
      <c r="J94" s="9"/>
      <c r="K94" s="9"/>
      <c r="L94" s="9"/>
      <c r="M94" s="9"/>
      <c r="N94" s="9"/>
      <c r="O94" s="9"/>
    </row>
    <row r="95" spans="1:15">
      <c r="A95" s="59"/>
      <c r="B95" s="20"/>
      <c r="C95" s="20"/>
      <c r="D95" s="20"/>
      <c r="E95" s="20"/>
      <c r="F95" s="20"/>
      <c r="G95" s="20"/>
      <c r="H95" s="20"/>
      <c r="I95" s="60"/>
      <c r="J95" s="9"/>
      <c r="K95" s="9"/>
      <c r="L95" s="9"/>
      <c r="M95" s="9"/>
      <c r="N95" s="9"/>
      <c r="O95" s="9"/>
    </row>
    <row r="96" spans="1:15">
      <c r="A96" s="59"/>
      <c r="B96" s="20"/>
      <c r="C96" s="20"/>
      <c r="D96" s="20"/>
      <c r="E96" s="20"/>
      <c r="F96" s="20"/>
      <c r="G96" s="20"/>
      <c r="H96" s="20"/>
      <c r="I96" s="60"/>
      <c r="J96" s="9"/>
      <c r="K96" s="9"/>
      <c r="L96" s="9"/>
      <c r="M96" s="9"/>
      <c r="N96" s="9"/>
      <c r="O96" s="9"/>
    </row>
    <row r="97" spans="1:15">
      <c r="A97" s="59"/>
      <c r="B97" s="20"/>
      <c r="C97" s="20"/>
      <c r="D97" s="20"/>
      <c r="E97" s="20"/>
      <c r="F97" s="20"/>
      <c r="G97" s="20"/>
      <c r="H97" s="20"/>
      <c r="I97" s="60"/>
      <c r="J97" s="9"/>
      <c r="K97" s="9"/>
      <c r="L97" s="9"/>
      <c r="M97" s="9"/>
      <c r="N97" s="9"/>
      <c r="O97" s="9"/>
    </row>
    <row r="98" spans="1:15">
      <c r="A98" s="59"/>
      <c r="B98" s="20"/>
      <c r="C98" s="20"/>
      <c r="D98" s="20"/>
      <c r="E98" s="20"/>
      <c r="F98" s="20"/>
      <c r="G98" s="20"/>
      <c r="H98" s="20"/>
      <c r="I98" s="60"/>
      <c r="J98" s="9"/>
      <c r="K98" s="9"/>
      <c r="L98" s="9"/>
      <c r="M98" s="9"/>
      <c r="N98" s="9"/>
      <c r="O98" s="9"/>
    </row>
    <row r="99" spans="1:15" ht="16.5" thickBot="1">
      <c r="A99" s="61"/>
      <c r="B99" s="62"/>
      <c r="C99" s="62"/>
      <c r="D99" s="62"/>
      <c r="E99" s="62"/>
      <c r="F99" s="62"/>
      <c r="G99" s="62"/>
      <c r="H99" s="62"/>
      <c r="I99" s="63"/>
      <c r="J99" s="9"/>
      <c r="K99" s="9"/>
      <c r="L99" s="9"/>
      <c r="M99" s="9"/>
      <c r="N99" s="9"/>
      <c r="O99" s="9"/>
    </row>
    <row r="100" spans="1:15">
      <c r="A100" s="20"/>
      <c r="B100" s="20"/>
      <c r="C100" s="20"/>
      <c r="D100" s="20"/>
      <c r="E100" s="20"/>
      <c r="F100" s="20"/>
      <c r="G100" s="20"/>
      <c r="H100" s="20"/>
      <c r="I100" s="20"/>
      <c r="J100" s="9"/>
      <c r="K100" s="9"/>
      <c r="L100" s="9"/>
      <c r="M100" s="9"/>
      <c r="N100" s="9"/>
      <c r="O100" s="9"/>
    </row>
    <row r="101" spans="1:15">
      <c r="A101" s="20"/>
      <c r="B101" s="20"/>
      <c r="C101" s="20"/>
      <c r="D101" s="20"/>
      <c r="E101" s="20"/>
      <c r="F101" s="20"/>
      <c r="G101" s="20"/>
      <c r="H101" s="20"/>
      <c r="I101" s="20"/>
      <c r="J101" s="9"/>
      <c r="K101" s="9"/>
      <c r="L101" s="9"/>
      <c r="M101" s="9"/>
      <c r="N101" s="9"/>
      <c r="O101" s="9"/>
    </row>
    <row r="102" spans="1:15">
      <c r="A102" s="7"/>
      <c r="B102" s="7"/>
      <c r="C102" s="7"/>
      <c r="D102" s="7"/>
      <c r="E102" s="7"/>
      <c r="F102" s="7"/>
      <c r="G102" s="7"/>
      <c r="H102" s="7"/>
      <c r="I102" s="7"/>
    </row>
  </sheetData>
  <sheetProtection algorithmName="SHA-512" hashValue="S4wFxiiAhrRmwI6Bb5sKRGqYCDHF//6na+JYpkgEHcbEB/J6/MJZuyOq2pVCtUoPT6qi4xMKSUEZMi4XGWS96Q==" saltValue="UpsVq4/DkFoie66JPXlitA==" spinCount="100000" sheet="1" formatCells="0"/>
  <mergeCells count="11">
    <mergeCell ref="M7:O7"/>
    <mergeCell ref="M37:O37"/>
    <mergeCell ref="J19:L19"/>
    <mergeCell ref="J49:L49"/>
    <mergeCell ref="A76:I76"/>
    <mergeCell ref="B2:I2"/>
    <mergeCell ref="B3:I3"/>
    <mergeCell ref="B32:I32"/>
    <mergeCell ref="B33:I33"/>
    <mergeCell ref="A89:I89"/>
    <mergeCell ref="A63:I63"/>
  </mergeCells>
  <conditionalFormatting sqref="K23:L23">
    <cfRule type="containsText" dxfId="3" priority="3" operator="containsText" text="WARN">
      <formula>NOT(ISERROR(SEARCH("WARN",K23)))</formula>
    </cfRule>
    <cfRule type="cellIs" dxfId="2" priority="4" operator="equal">
      <formula>"OK"</formula>
    </cfRule>
  </conditionalFormatting>
  <conditionalFormatting sqref="K53:L53">
    <cfRule type="containsText" dxfId="1" priority="1" operator="containsText" text="WARN">
      <formula>NOT(ISERROR(SEARCH("WARN",K53)))</formula>
    </cfRule>
    <cfRule type="cellIs" dxfId="0" priority="2" operator="equal">
      <formula>"OK"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A2" sqref="A2:I14"/>
    </sheetView>
  </sheetViews>
  <sheetFormatPr defaultColWidth="11" defaultRowHeight="15.75"/>
  <sheetData>
    <row r="1" spans="1:11" ht="16.5" thickBot="1">
      <c r="A1" s="116" t="s">
        <v>38</v>
      </c>
      <c r="B1" s="117"/>
      <c r="C1" s="117"/>
      <c r="D1" s="117"/>
      <c r="E1" s="117"/>
      <c r="F1" s="117"/>
      <c r="G1" s="117"/>
      <c r="H1" s="117"/>
      <c r="I1" s="118"/>
      <c r="J1" s="9"/>
      <c r="K1" s="9"/>
    </row>
    <row r="2" spans="1:11">
      <c r="A2" s="107"/>
      <c r="B2" s="108"/>
      <c r="C2" s="108"/>
      <c r="D2" s="108"/>
      <c r="E2" s="108"/>
      <c r="F2" s="108"/>
      <c r="G2" s="108"/>
      <c r="H2" s="108"/>
      <c r="I2" s="109"/>
      <c r="J2" s="9"/>
      <c r="K2" s="9"/>
    </row>
    <row r="3" spans="1:11">
      <c r="A3" s="110"/>
      <c r="B3" s="111"/>
      <c r="C3" s="111"/>
      <c r="D3" s="111"/>
      <c r="E3" s="111"/>
      <c r="F3" s="111"/>
      <c r="G3" s="111"/>
      <c r="H3" s="111"/>
      <c r="I3" s="112"/>
      <c r="J3" s="9"/>
      <c r="K3" s="9"/>
    </row>
    <row r="4" spans="1:11">
      <c r="A4" s="110"/>
      <c r="B4" s="111"/>
      <c r="C4" s="111"/>
      <c r="D4" s="111"/>
      <c r="E4" s="111"/>
      <c r="F4" s="111"/>
      <c r="G4" s="111"/>
      <c r="H4" s="111"/>
      <c r="I4" s="112"/>
      <c r="J4" s="9"/>
      <c r="K4" s="9"/>
    </row>
    <row r="5" spans="1:11">
      <c r="A5" s="110"/>
      <c r="B5" s="111"/>
      <c r="C5" s="111"/>
      <c r="D5" s="111"/>
      <c r="E5" s="111"/>
      <c r="F5" s="111"/>
      <c r="G5" s="111"/>
      <c r="H5" s="111"/>
      <c r="I5" s="112"/>
      <c r="J5" s="9"/>
      <c r="K5" s="9"/>
    </row>
    <row r="6" spans="1:11">
      <c r="A6" s="110"/>
      <c r="B6" s="111"/>
      <c r="C6" s="111"/>
      <c r="D6" s="111"/>
      <c r="E6" s="111"/>
      <c r="F6" s="111"/>
      <c r="G6" s="111"/>
      <c r="H6" s="111"/>
      <c r="I6" s="112"/>
      <c r="J6" s="9"/>
      <c r="K6" s="9"/>
    </row>
    <row r="7" spans="1:11">
      <c r="A7" s="110"/>
      <c r="B7" s="111"/>
      <c r="C7" s="111"/>
      <c r="D7" s="111"/>
      <c r="E7" s="111"/>
      <c r="F7" s="111"/>
      <c r="G7" s="111"/>
      <c r="H7" s="111"/>
      <c r="I7" s="112"/>
      <c r="J7" s="9"/>
      <c r="K7" s="9"/>
    </row>
    <row r="8" spans="1:11">
      <c r="A8" s="110"/>
      <c r="B8" s="111"/>
      <c r="C8" s="111"/>
      <c r="D8" s="111"/>
      <c r="E8" s="111"/>
      <c r="F8" s="111"/>
      <c r="G8" s="111"/>
      <c r="H8" s="111"/>
      <c r="I8" s="112"/>
      <c r="J8" s="9"/>
      <c r="K8" s="9"/>
    </row>
    <row r="9" spans="1:11">
      <c r="A9" s="110"/>
      <c r="B9" s="111"/>
      <c r="C9" s="111"/>
      <c r="D9" s="111"/>
      <c r="E9" s="111"/>
      <c r="F9" s="111"/>
      <c r="G9" s="111"/>
      <c r="H9" s="111"/>
      <c r="I9" s="112"/>
      <c r="J9" s="9"/>
      <c r="K9" s="9"/>
    </row>
    <row r="10" spans="1:11">
      <c r="A10" s="110"/>
      <c r="B10" s="111"/>
      <c r="C10" s="111"/>
      <c r="D10" s="111"/>
      <c r="E10" s="111"/>
      <c r="F10" s="111"/>
      <c r="G10" s="111"/>
      <c r="H10" s="111"/>
      <c r="I10" s="112"/>
      <c r="J10" s="9"/>
      <c r="K10" s="9"/>
    </row>
    <row r="11" spans="1:11">
      <c r="A11" s="110"/>
      <c r="B11" s="111"/>
      <c r="C11" s="111"/>
      <c r="D11" s="111"/>
      <c r="E11" s="111"/>
      <c r="F11" s="111"/>
      <c r="G11" s="111"/>
      <c r="H11" s="111"/>
      <c r="I11" s="112"/>
      <c r="J11" s="9"/>
      <c r="K11" s="9"/>
    </row>
    <row r="12" spans="1:11">
      <c r="A12" s="110"/>
      <c r="B12" s="111"/>
      <c r="C12" s="111"/>
      <c r="D12" s="111"/>
      <c r="E12" s="111"/>
      <c r="F12" s="111"/>
      <c r="G12" s="111"/>
      <c r="H12" s="111"/>
      <c r="I12" s="112"/>
      <c r="J12" s="9"/>
      <c r="K12" s="9"/>
    </row>
    <row r="13" spans="1:11">
      <c r="A13" s="110"/>
      <c r="B13" s="111"/>
      <c r="C13" s="111"/>
      <c r="D13" s="111"/>
      <c r="E13" s="111"/>
      <c r="F13" s="111"/>
      <c r="G13" s="111"/>
      <c r="H13" s="111"/>
      <c r="I13" s="112"/>
      <c r="J13" s="9"/>
      <c r="K13" s="9"/>
    </row>
    <row r="14" spans="1:11" ht="16.5" thickBot="1">
      <c r="A14" s="113"/>
      <c r="B14" s="114"/>
      <c r="C14" s="114"/>
      <c r="D14" s="114"/>
      <c r="E14" s="114"/>
      <c r="F14" s="114"/>
      <c r="G14" s="114"/>
      <c r="H14" s="114"/>
      <c r="I14" s="115"/>
      <c r="J14" s="9"/>
      <c r="K14" s="9"/>
    </row>
    <row r="15" spans="1:1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</sheetData>
  <sheetProtection algorithmName="SHA-512" hashValue="51Y+rWlqhbyQlVSGGT/Cw+JGmWnol+gPl/uii9c/B+X3L78M6AUcf1N9sbRynosjOuvqApk1oKnwzq1P6W+yFQ==" saltValue="CMb7WC6Bb6a2crnOHVnkBQ==" spinCount="100000" sheet="1"/>
  <mergeCells count="2">
    <mergeCell ref="A1:I1"/>
    <mergeCell ref="A2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Title Page</vt:lpstr>
      <vt:lpstr>Data</vt:lpstr>
      <vt:lpstr>Graphs and Analysis</vt:lpstr>
      <vt:lpstr>Error Source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Marzena Kastyak-Ibrahim</cp:lastModifiedBy>
  <dcterms:created xsi:type="dcterms:W3CDTF">2018-11-19T22:28:16Z</dcterms:created>
  <dcterms:modified xsi:type="dcterms:W3CDTF">2019-11-22T22:46:28Z</dcterms:modified>
</cp:coreProperties>
</file>