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611"/>
  <workbookPr/>
  <mc:AlternateContent xmlns:mc="http://schemas.openxmlformats.org/markup-compatibility/2006">
    <mc:Choice Requires="x15">
      <x15ac:absPath xmlns:x15ac="http://schemas.microsoft.com/office/spreadsheetml/2010/11/ac" url="https://uofc-my.sharepoint.com/personal/abdelrahman_elsayed_ucalgary_ca/Documents/"/>
    </mc:Choice>
  </mc:AlternateContent>
  <xr:revisionPtr revIDLastSave="0" documentId="8_{561E8E7B-BA15-49E2-9A67-30EC640F161A}" xr6:coauthVersionLast="47" xr6:coauthVersionMax="47" xr10:uidLastSave="{00000000-0000-0000-0000-000000000000}"/>
  <bookViews>
    <workbookView xWindow="-110" yWindow="-110" windowWidth="19420" windowHeight="10300" tabRatio="670" firstSheet="6" activeTab="6" xr2:uid="{00000000-000D-0000-FFFF-FFFF00000000}"/>
  </bookViews>
  <sheets>
    <sheet name="Preliminary Measurements" sheetId="1" r:id="rId1"/>
    <sheet name="Discussion" sheetId="6" r:id="rId2"/>
    <sheet name="Method 1 (g1)" sheetId="2" r:id="rId3"/>
    <sheet name="Method 3 (g3)" sheetId="4" r:id="rId4"/>
    <sheet name="Method 2 (g2)" sheetId="3" r:id="rId5"/>
    <sheet name="Method 4 (g4)" sheetId="5" r:id="rId6"/>
    <sheet name="Uncertainty Assignment"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7" l="1"/>
  <c r="F14" i="7"/>
  <c r="F13" i="7"/>
  <c r="F12" i="7"/>
  <c r="K6" i="5"/>
  <c r="K7" i="5"/>
  <c r="K8" i="5"/>
  <c r="K9" i="5"/>
  <c r="K10" i="5"/>
  <c r="K5" i="5"/>
  <c r="J5" i="5" l="1"/>
  <c r="H6" i="5"/>
  <c r="J6" i="5" s="1"/>
  <c r="H7" i="5"/>
  <c r="J7" i="5" s="1"/>
  <c r="H8" i="5"/>
  <c r="J8" i="5" s="1"/>
  <c r="H9" i="5"/>
  <c r="J9" i="5" s="1"/>
  <c r="H10" i="5"/>
  <c r="J10" i="5" s="1"/>
  <c r="H5" i="5"/>
  <c r="E18" i="3"/>
  <c r="E17" i="3"/>
  <c r="E16" i="3"/>
  <c r="E6" i="3"/>
  <c r="E8" i="3"/>
  <c r="E5" i="3"/>
  <c r="D14" i="3"/>
  <c r="E14" i="3" s="1"/>
  <c r="D13" i="3"/>
  <c r="E13" i="3" s="1"/>
  <c r="D12" i="3"/>
  <c r="E12" i="3" s="1"/>
  <c r="D11" i="3"/>
  <c r="E11" i="3" s="1"/>
  <c r="D10" i="3"/>
  <c r="E10" i="3" s="1"/>
  <c r="D9" i="3"/>
  <c r="E9" i="3" s="1"/>
  <c r="D8" i="3"/>
  <c r="D7" i="3"/>
  <c r="E7" i="3" s="1"/>
  <c r="D6" i="3"/>
  <c r="C15" i="3"/>
  <c r="D5" i="3" s="1"/>
  <c r="F16" i="1"/>
  <c r="F5" i="1"/>
  <c r="F6" i="1"/>
  <c r="F7" i="1"/>
  <c r="F8" i="1"/>
  <c r="F9" i="1"/>
  <c r="F10" i="1"/>
  <c r="F11" i="1"/>
  <c r="F12" i="1"/>
  <c r="F13" i="1"/>
  <c r="F14" i="1"/>
  <c r="F15" i="1"/>
  <c r="F4" i="1"/>
  <c r="E15" i="3" l="1"/>
</calcChain>
</file>

<file path=xl/sharedStrings.xml><?xml version="1.0" encoding="utf-8"?>
<sst xmlns="http://schemas.openxmlformats.org/spreadsheetml/2006/main" count="170" uniqueCount="120">
  <si>
    <t>Reaction Time Measurements</t>
  </si>
  <si>
    <t>Measurement #</t>
  </si>
  <si>
    <t>Time Measurement</t>
  </si>
  <si>
    <t>t-5.0s</t>
  </si>
  <si>
    <t>Reaction Time Summary</t>
  </si>
  <si>
    <t>Group mean of t - 5.00 s (s)</t>
  </si>
  <si>
    <t>Group standard deviation (s)</t>
  </si>
  <si>
    <t>Section mean from TA (s)</t>
  </si>
  <si>
    <t>Section standard deviation from TA (s)</t>
  </si>
  <si>
    <t>Standard deviation used, σ (s)</t>
  </si>
  <si>
    <t>Timing uncertainty for one timed interval (s)</t>
  </si>
  <si>
    <t>Don't forget to report your data to the TA!</t>
  </si>
  <si>
    <t>Notes From Discussion 1</t>
  </si>
  <si>
    <t>An oscillation is one complete cycle of motion. The period is the time it takes to complete 1 full oscillation.</t>
  </si>
  <si>
    <t>Notes From Discussion 2</t>
  </si>
  <si>
    <t>The length of the pendulum L stands for the distance from the pivot of the pendulum to the center of mass of the mass that is on the string. We want the length of the pendulum to be as long as possible to get the longest period so that both period and string length uncertainties will be relatively small. We also want the mass to be heavy enough to make the weight of the string negligible.</t>
  </si>
  <si>
    <t>Notes From Discussion 3</t>
  </si>
  <si>
    <t>No, we only account for reaction time uncertainty, we didn't account for things like friction, the protractor's accuracy, wind, etc. Yes, the length uncertainty would change because it would go from Type B uncertainty to Type A uncertainty. It shouldn't affect the time period calculation because length measurement is not part of the Period calculations</t>
  </si>
  <si>
    <t>Notes From Discussion 4</t>
  </si>
  <si>
    <t>We decided that it would be appropriate to lower our length by small increments all the way to about 1/2 our original length. If we were to go too small with our length it would increase measurement errors.</t>
  </si>
  <si>
    <t>Notes From Discussion 5</t>
  </si>
  <si>
    <t>Squaring both sides of T = 2π√(L/g) gives T² = (4π²/g)L. This has the form y = mx + b with y = T² (s²), x = L (m), m = 4π²/g (s²/m), and b = 0. After fitting a straight line to T² versus L, g is found from the slope.</t>
  </si>
  <si>
    <t>Notes From Discussion 6</t>
  </si>
  <si>
    <t>Graphical representation helps to know and better understand how the data trends. When graphing the T^2 vs L graph we expect the data to show a linear trend line. We can tell if our data is close to what we expect by showing it in a graphical method. We used graphical analysis to determine the gravity in reference to the slope of the T^2 vs L graph. It also highlights outliers in the measurments taken</t>
  </si>
  <si>
    <t>Singular Measurement of an Oscillation Time</t>
  </si>
  <si>
    <t>Measurement</t>
  </si>
  <si>
    <t>Units</t>
  </si>
  <si>
    <t>Measurement of Time</t>
  </si>
  <si>
    <t>s</t>
  </si>
  <si>
    <t>Uncertainty in time measurement</t>
  </si>
  <si>
    <t>Measurement of Length</t>
  </si>
  <si>
    <t>cm</t>
  </si>
  <si>
    <t>Uncertainty in length measurement</t>
  </si>
  <si>
    <t>Use this length measurement for parts (1), (2) and (3) of the experiment</t>
  </si>
  <si>
    <t>Calculation of g1 (g = 4π²L/T²)</t>
  </si>
  <si>
    <t>g1</t>
  </si>
  <si>
    <t>m/s²</t>
  </si>
  <si>
    <t>u(g1) = g1·√[(u(L)/L)² + (2u(T)/T)²]</t>
  </si>
  <si>
    <t>Relative uncertainty u(g1)/g1</t>
  </si>
  <si>
    <t>Singular Measurement of Time of Multiple Oscillations</t>
  </si>
  <si>
    <t>Measurement  of time of 10 oscillations</t>
  </si>
  <si>
    <t>Uncertainty in the measurement</t>
  </si>
  <si>
    <t>Time of one oscillation</t>
  </si>
  <si>
    <t>Uncertainty in the time of one oscillation</t>
  </si>
  <si>
    <t>(s)</t>
  </si>
  <si>
    <t>Calculation of g3 (uses L from Method 1)</t>
  </si>
  <si>
    <t>L</t>
  </si>
  <si>
    <t>m</t>
  </si>
  <si>
    <t>u(L)</t>
  </si>
  <si>
    <t>T = t/10</t>
  </si>
  <si>
    <t>u(T) = u(t)/10</t>
  </si>
  <si>
    <t>g3</t>
  </si>
  <si>
    <t>u(g3)</t>
  </si>
  <si>
    <t>Relative uncertainty</t>
  </si>
  <si>
    <t>Multiple Measurements of an Oscillation Time</t>
  </si>
  <si>
    <t>T</t>
  </si>
  <si>
    <r>
      <t>T</t>
    </r>
    <r>
      <rPr>
        <b/>
        <vertAlign val="subscript"/>
        <sz val="11"/>
        <color theme="1"/>
        <rFont val="Calibri"/>
        <family val="2"/>
        <scheme val="minor"/>
      </rPr>
      <t>i</t>
    </r>
    <r>
      <rPr>
        <b/>
        <sz val="11"/>
        <color theme="1"/>
        <rFont val="Calibri"/>
        <family val="2"/>
        <scheme val="minor"/>
      </rPr>
      <t>-T</t>
    </r>
    <r>
      <rPr>
        <b/>
        <vertAlign val="subscript"/>
        <sz val="11"/>
        <color theme="1"/>
        <rFont val="Calibri"/>
        <family val="2"/>
        <scheme val="minor"/>
      </rPr>
      <t>ave</t>
    </r>
  </si>
  <si>
    <r>
      <t>(T</t>
    </r>
    <r>
      <rPr>
        <b/>
        <vertAlign val="subscript"/>
        <sz val="11"/>
        <color theme="1"/>
        <rFont val="Calibri"/>
        <family val="2"/>
        <scheme val="minor"/>
      </rPr>
      <t xml:space="preserve">i </t>
    </r>
    <r>
      <rPr>
        <b/>
        <sz val="11"/>
        <color theme="1"/>
        <rFont val="Calibri"/>
        <family val="2"/>
        <scheme val="minor"/>
      </rPr>
      <t>- T</t>
    </r>
    <r>
      <rPr>
        <b/>
        <vertAlign val="subscript"/>
        <sz val="11"/>
        <color theme="1"/>
        <rFont val="Calibri"/>
        <family val="2"/>
        <scheme val="minor"/>
      </rPr>
      <t>ave</t>
    </r>
    <r>
      <rPr>
        <b/>
        <sz val="11"/>
        <color theme="1"/>
        <rFont val="Calibri"/>
        <family val="2"/>
        <scheme val="minor"/>
      </rPr>
      <t>)</t>
    </r>
    <r>
      <rPr>
        <b/>
        <vertAlign val="superscript"/>
        <sz val="11"/>
        <color theme="1"/>
        <rFont val="Calibri"/>
        <family val="2"/>
        <scheme val="minor"/>
      </rPr>
      <t>2</t>
    </r>
  </si>
  <si>
    <r>
      <t>(s</t>
    </r>
    <r>
      <rPr>
        <b/>
        <vertAlign val="superscript"/>
        <sz val="11"/>
        <color theme="1"/>
        <rFont val="Calibri"/>
        <family val="2"/>
        <scheme val="minor"/>
      </rPr>
      <t>2</t>
    </r>
    <r>
      <rPr>
        <b/>
        <sz val="11"/>
        <color theme="1"/>
        <rFont val="Calibri"/>
        <family val="2"/>
        <scheme val="minor"/>
      </rPr>
      <t>)</t>
    </r>
  </si>
  <si>
    <t>Average Period</t>
  </si>
  <si>
    <t>Sum</t>
  </si>
  <si>
    <t xml:space="preserve">Standard Deviation </t>
  </si>
  <si>
    <t>Uncertainty</t>
  </si>
  <si>
    <t>Total Uncertainty</t>
  </si>
  <si>
    <t>Calculation of g2 (uses L from Method 1)</t>
  </si>
  <si>
    <t>Average period T̄</t>
  </si>
  <si>
    <t>u(T̄) (total)</t>
  </si>
  <si>
    <t>g2</t>
  </si>
  <si>
    <t>u(g2)</t>
  </si>
  <si>
    <t>Measurements of Multiple Oscillations for Various Pendulum Lengths</t>
  </si>
  <si>
    <t>t</t>
  </si>
  <si>
    <t>u(t)</t>
  </si>
  <si>
    <t>u(T)</t>
  </si>
  <si>
    <r>
      <t>T</t>
    </r>
    <r>
      <rPr>
        <b/>
        <vertAlign val="superscript"/>
        <sz val="11"/>
        <color theme="1"/>
        <rFont val="Calibri"/>
        <family val="2"/>
        <scheme val="minor"/>
      </rPr>
      <t>2</t>
    </r>
  </si>
  <si>
    <r>
      <t>u(T</t>
    </r>
    <r>
      <rPr>
        <b/>
        <vertAlign val="superscript"/>
        <sz val="11"/>
        <color theme="1"/>
        <rFont val="Calibri"/>
        <family val="2"/>
        <scheme val="minor"/>
      </rPr>
      <t>2</t>
    </r>
    <r>
      <rPr>
        <b/>
        <sz val="11"/>
        <color theme="1"/>
        <rFont val="Calibri"/>
        <family val="2"/>
        <scheme val="minor"/>
      </rPr>
      <t>)</t>
    </r>
  </si>
  <si>
    <t>[m]</t>
  </si>
  <si>
    <t>y</t>
  </si>
  <si>
    <t>T^2</t>
  </si>
  <si>
    <t>4PI^2/g</t>
  </si>
  <si>
    <t>x</t>
  </si>
  <si>
    <t>b</t>
  </si>
  <si>
    <t>Straight line fit of T² vs L (least squares)</t>
  </si>
  <si>
    <t>Slope m</t>
  </si>
  <si>
    <t>s²/m</t>
  </si>
  <si>
    <t>u(m)</t>
  </si>
  <si>
    <t>Intercept b</t>
  </si>
  <si>
    <t>s²</t>
  </si>
  <si>
    <t>u(b)</t>
  </si>
  <si>
    <t>R²</t>
  </si>
  <si>
    <t>Is b consistent with 0?</t>
  </si>
  <si>
    <t>Yes, |b| ≤ 2u(b)</t>
  </si>
  <si>
    <t>g4 = 4π²/m</t>
  </si>
  <si>
    <t>u(g4) = g4·u(m)/m</t>
  </si>
  <si>
    <t>Assessment of the uncertainty type</t>
  </si>
  <si>
    <t>Uncertainty type in period measurement</t>
  </si>
  <si>
    <t>Uncertainty type in length measurement</t>
  </si>
  <si>
    <t>Method 1</t>
  </si>
  <si>
    <t>B</t>
  </si>
  <si>
    <t>Method 2</t>
  </si>
  <si>
    <t>A and B</t>
  </si>
  <si>
    <t>Method 3</t>
  </si>
  <si>
    <t>Method 4</t>
  </si>
  <si>
    <r>
      <t>Method</t>
    </r>
    <r>
      <rPr>
        <sz val="9.5"/>
        <rFont val="Calibri"/>
        <family val="2"/>
      </rPr>
      <t> </t>
    </r>
  </si>
  <si>
    <r>
      <t>g (m/s²)</t>
    </r>
    <r>
      <rPr>
        <sz val="9.5"/>
        <rFont val="Calibri"/>
        <family val="2"/>
      </rPr>
      <t> </t>
    </r>
  </si>
  <si>
    <r>
      <t>u(g) (m/s²)</t>
    </r>
    <r>
      <rPr>
        <sz val="9.5"/>
        <rFont val="Calibri"/>
        <family val="2"/>
      </rPr>
      <t> </t>
    </r>
  </si>
  <si>
    <t>Error percent</t>
  </si>
  <si>
    <t>1: one oscillation </t>
  </si>
  <si>
    <t>9 </t>
  </si>
  <si>
    <t>1 </t>
  </si>
  <si>
    <t>Agrees </t>
  </si>
  <si>
    <t>2: ten single oscillations </t>
  </si>
  <si>
    <t>10.9 </t>
  </si>
  <si>
    <t>2 </t>
  </si>
  <si>
    <t>3: ten oscillations timed once </t>
  </si>
  <si>
    <t>9.8 </t>
  </si>
  <si>
    <t>0.1 </t>
  </si>
  <si>
    <t>4: graph of T² vs L </t>
  </si>
  <si>
    <t>9.7 </t>
  </si>
  <si>
    <t>0.3 </t>
  </si>
  <si>
    <t>Real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</si>
</sst>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00"/>
  </numFmts>
  <fonts count="10">
    <font>
      <sz val="11"/>
      <color theme="1"/>
      <name val="Calibri"/>
      <family val="2"/>
      <scheme val="minor"/>
    </font>
    <font>
      <b/>
      <sz val="11"/>
      <color theme="0"/>
      <name val="Calibri"/>
      <family val="2"/>
      <scheme val="minor"/>
    </font>
    <font>
      <b/>
      <sz val="11"/>
      <color theme="1"/>
      <name val="Calibri"/>
      <family val="2"/>
      <scheme val="minor"/>
    </font>
    <font>
      <i/>
      <sz val="11"/>
      <color theme="1"/>
      <name val="Calibri"/>
      <family val="2"/>
      <scheme val="minor"/>
    </font>
    <font>
      <b/>
      <vertAlign val="subscript"/>
      <sz val="11"/>
      <color theme="1"/>
      <name val="Calibri"/>
      <family val="2"/>
      <scheme val="minor"/>
    </font>
    <font>
      <b/>
      <vertAlign val="superscript"/>
      <sz val="11"/>
      <color theme="1"/>
      <name val="Calibri"/>
      <family val="2"/>
      <scheme val="minor"/>
    </font>
    <font>
      <b/>
      <sz val="11"/>
      <name val="Calibri"/>
    </font>
    <font>
      <sz val="11"/>
      <name val="Calibri"/>
    </font>
    <font>
      <b/>
      <sz val="9.5"/>
      <name val="Calibri"/>
      <family val="2"/>
    </font>
    <font>
      <sz val="9.5"/>
      <name val="Calibri"/>
      <family val="2"/>
    </font>
  </fonts>
  <fills count="9">
    <fill>
      <patternFill patternType="none"/>
    </fill>
    <fill>
      <patternFill patternType="gray125"/>
    </fill>
    <fill>
      <patternFill patternType="solid">
        <fgColor theme="2"/>
        <bgColor indexed="64"/>
      </patternFill>
    </fill>
    <fill>
      <patternFill patternType="solid">
        <fgColor theme="4"/>
        <bgColor indexed="64"/>
      </patternFill>
    </fill>
    <fill>
      <patternFill patternType="solid">
        <fgColor theme="5"/>
        <bgColor indexed="64"/>
      </patternFill>
    </fill>
    <fill>
      <patternFill patternType="solid">
        <fgColor theme="9"/>
        <bgColor indexed="64"/>
      </patternFill>
    </fill>
    <fill>
      <patternFill patternType="solid">
        <fgColor rgb="FFE7E6E6"/>
        <bgColor rgb="FF000000"/>
      </patternFill>
    </fill>
    <fill>
      <patternFill patternType="solid">
        <fgColor rgb="FFE8E8E8"/>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rgb="FF000000"/>
      </right>
      <top style="thin">
        <color rgb="FF000000"/>
      </top>
      <bottom style="medium">
        <color rgb="FF000000"/>
      </bottom>
      <diagonal/>
    </border>
    <border>
      <left/>
      <right style="thin">
        <color rgb="FF000000"/>
      </right>
      <top style="medium">
        <color rgb="FF000000"/>
      </top>
      <bottom style="medium">
        <color rgb="FF000000"/>
      </bottom>
      <diagonal/>
    </border>
    <border>
      <left/>
      <right style="thin">
        <color rgb="FF000000"/>
      </right>
      <top style="medium">
        <color rgb="FF000000"/>
      </top>
      <bottom style="thin">
        <color rgb="FF000000"/>
      </bottom>
      <diagonal/>
    </border>
  </borders>
  <cellStyleXfs count="1">
    <xf numFmtId="0" fontId="0" fillId="0" borderId="0"/>
  </cellStyleXfs>
  <cellXfs count="69">
    <xf numFmtId="0" fontId="0" fillId="0" borderId="0" xfId="0"/>
    <xf numFmtId="0" fontId="0" fillId="0" borderId="0" xfId="0" applyAlignment="1">
      <alignment horizontal="center"/>
    </xf>
    <xf numFmtId="0" fontId="0" fillId="0" borderId="1" xfId="0" applyBorder="1"/>
    <xf numFmtId="0" fontId="0" fillId="0" borderId="1" xfId="0" applyBorder="1" applyAlignment="1">
      <alignment horizontal="center"/>
    </xf>
    <xf numFmtId="0" fontId="0" fillId="0" borderId="4" xfId="0" applyBorder="1" applyAlignment="1">
      <alignment horizontal="center"/>
    </xf>
    <xf numFmtId="0" fontId="0" fillId="0" borderId="0" xfId="0" applyAlignment="1">
      <alignment horizontal="center" vertical="center"/>
    </xf>
    <xf numFmtId="0" fontId="0" fillId="0" borderId="1" xfId="0" applyBorder="1" applyAlignment="1">
      <alignment horizontal="center" vertical="center"/>
    </xf>
    <xf numFmtId="0" fontId="0" fillId="0" borderId="0" xfId="0" applyAlignment="1">
      <alignment wrapText="1"/>
    </xf>
    <xf numFmtId="0" fontId="0" fillId="0" borderId="0" xfId="0" applyAlignment="1">
      <alignment horizontal="center" vertical="center" wrapText="1"/>
    </xf>
    <xf numFmtId="0" fontId="2" fillId="0" borderId="0" xfId="0" applyFont="1" applyAlignment="1">
      <alignment horizontal="center" vertical="center"/>
    </xf>
    <xf numFmtId="0" fontId="0" fillId="0" borderId="0" xfId="0" applyAlignment="1">
      <alignment vertical="center"/>
    </xf>
    <xf numFmtId="0" fontId="1" fillId="0" borderId="0" xfId="0" applyFont="1" applyAlignment="1">
      <alignment horizontal="center" vertical="center" wrapText="1"/>
    </xf>
    <xf numFmtId="0" fontId="2" fillId="0" borderId="0" xfId="0" applyFont="1" applyAlignment="1">
      <alignment vertical="center"/>
    </xf>
    <xf numFmtId="0" fontId="0" fillId="2" borderId="0" xfId="0" applyFill="1"/>
    <xf numFmtId="0" fontId="0" fillId="0" borderId="4" xfId="0" applyBorder="1" applyAlignment="1">
      <alignment horizontal="center" vertical="center"/>
    </xf>
    <xf numFmtId="0" fontId="2" fillId="2" borderId="1" xfId="0" applyFont="1" applyFill="1" applyBorder="1" applyAlignment="1">
      <alignment horizontal="center" vertical="center" wrapText="1"/>
    </xf>
    <xf numFmtId="49" fontId="2" fillId="0" borderId="0" xfId="0" applyNumberFormat="1" applyFont="1" applyAlignment="1">
      <alignment horizontal="center" vertical="center" wrapText="1"/>
    </xf>
    <xf numFmtId="0" fontId="0" fillId="0" borderId="1" xfId="0" applyBorder="1" applyAlignment="1">
      <alignment vertical="center"/>
    </xf>
    <xf numFmtId="0" fontId="2" fillId="2" borderId="1" xfId="0" applyFont="1" applyFill="1" applyBorder="1" applyAlignment="1">
      <alignment horizontal="center"/>
    </xf>
    <xf numFmtId="0" fontId="2" fillId="2" borderId="8"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0" borderId="0" xfId="0" applyFont="1" applyAlignment="1">
      <alignment wrapText="1"/>
    </xf>
    <xf numFmtId="0" fontId="2" fillId="0" borderId="0" xfId="0" applyFont="1" applyAlignment="1">
      <alignment horizontal="center" vertical="center" wrapText="1"/>
    </xf>
    <xf numFmtId="0" fontId="0" fillId="0" borderId="1" xfId="0" applyBorder="1" applyAlignment="1">
      <alignment horizontal="center" vertical="center" wrapText="1"/>
    </xf>
    <xf numFmtId="0" fontId="0" fillId="0" borderId="2" xfId="0" applyBorder="1"/>
    <xf numFmtId="0" fontId="2" fillId="2" borderId="1" xfId="0" applyFont="1" applyFill="1" applyBorder="1"/>
    <xf numFmtId="0" fontId="2" fillId="2" borderId="1" xfId="0" applyFont="1" applyFill="1" applyBorder="1" applyAlignment="1">
      <alignment horizontal="center" vertical="center"/>
    </xf>
    <xf numFmtId="0" fontId="2" fillId="0" borderId="0" xfId="0" applyFont="1"/>
    <xf numFmtId="0" fontId="0" fillId="0" borderId="4" xfId="0" applyBorder="1" applyAlignment="1">
      <alignment vertical="center"/>
    </xf>
    <xf numFmtId="0" fontId="2" fillId="2" borderId="8" xfId="0" applyFont="1" applyFill="1" applyBorder="1" applyAlignment="1">
      <alignment horizontal="center" vertical="center"/>
    </xf>
    <xf numFmtId="0" fontId="2" fillId="2" borderId="4" xfId="0" applyFont="1" applyFill="1" applyBorder="1" applyAlignment="1">
      <alignment horizontal="center" vertical="center"/>
    </xf>
    <xf numFmtId="0" fontId="0" fillId="3" borderId="7" xfId="0" applyFill="1" applyBorder="1" applyAlignment="1">
      <alignment horizontal="center" vertical="center"/>
    </xf>
    <xf numFmtId="0" fontId="0" fillId="3" borderId="6" xfId="0" applyFill="1" applyBorder="1" applyAlignment="1">
      <alignment horizontal="center" vertical="center"/>
    </xf>
    <xf numFmtId="0" fontId="0" fillId="4" borderId="6" xfId="0" applyFill="1" applyBorder="1" applyAlignment="1">
      <alignment horizontal="center" vertical="center"/>
    </xf>
    <xf numFmtId="0" fontId="0" fillId="5" borderId="6" xfId="0" applyFill="1" applyBorder="1" applyAlignment="1">
      <alignment horizontal="center" vertical="center"/>
    </xf>
    <xf numFmtId="0" fontId="6" fillId="6" borderId="4" xfId="0" applyFont="1" applyFill="1" applyBorder="1" applyAlignment="1">
      <alignment wrapText="1"/>
    </xf>
    <xf numFmtId="0" fontId="7" fillId="0" borderId="7" xfId="0" applyFont="1" applyBorder="1" applyAlignment="1">
      <alignment wrapText="1"/>
    </xf>
    <xf numFmtId="10" fontId="0" fillId="0" borderId="0" xfId="0" applyNumberFormat="1"/>
    <xf numFmtId="10" fontId="0" fillId="0" borderId="0" xfId="0" applyNumberFormat="1" applyAlignment="1">
      <alignment horizontal="center" vertical="center" wrapText="1"/>
    </xf>
    <xf numFmtId="0" fontId="0" fillId="8" borderId="0" xfId="0" applyFill="1"/>
    <xf numFmtId="0" fontId="8" fillId="7" borderId="10" xfId="0" applyFont="1" applyFill="1" applyBorder="1" applyAlignment="1">
      <alignment horizontal="center" vertical="center" wrapText="1"/>
    </xf>
    <xf numFmtId="0" fontId="9" fillId="8" borderId="11" xfId="0" applyFont="1" applyFill="1" applyBorder="1" applyAlignment="1">
      <alignment horizontal="center" vertical="center" wrapText="1"/>
    </xf>
    <xf numFmtId="0" fontId="9" fillId="8" borderId="12"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2" fontId="9" fillId="8" borderId="1" xfId="0" applyNumberFormat="1" applyFont="1" applyFill="1" applyBorder="1" applyAlignment="1">
      <alignment horizontal="center" vertical="center" wrapText="1"/>
    </xf>
    <xf numFmtId="165" fontId="0" fillId="8" borderId="1" xfId="0" applyNumberFormat="1" applyFill="1" applyBorder="1" applyAlignment="1">
      <alignment horizontal="center" vertical="center"/>
    </xf>
    <xf numFmtId="0" fontId="0" fillId="8" borderId="1" xfId="0" applyFill="1" applyBorder="1" applyAlignment="1">
      <alignment horizontal="center" vertical="center"/>
    </xf>
    <xf numFmtId="2" fontId="0" fillId="8" borderId="1" xfId="0" applyNumberFormat="1" applyFill="1" applyBorder="1" applyAlignment="1">
      <alignment horizontal="center"/>
    </xf>
    <xf numFmtId="0" fontId="2" fillId="2" borderId="0" xfId="0" applyFont="1" applyFill="1" applyAlignment="1">
      <alignment horizontal="center" vertical="center"/>
    </xf>
    <xf numFmtId="0" fontId="3" fillId="0" borderId="0" xfId="0" applyFont="1" applyAlignment="1">
      <alignment horizontal="center"/>
    </xf>
    <xf numFmtId="0" fontId="6" fillId="6" borderId="2" xfId="0" applyFont="1" applyFill="1" applyBorder="1" applyAlignment="1">
      <alignment wrapText="1"/>
    </xf>
    <xf numFmtId="0" fontId="6" fillId="6" borderId="6" xfId="0" applyFont="1" applyFill="1" applyBorder="1" applyAlignment="1">
      <alignment wrapText="1"/>
    </xf>
    <xf numFmtId="0" fontId="2" fillId="0" borderId="0" xfId="0" applyFont="1" applyAlignment="1">
      <alignment horizontal="center"/>
    </xf>
    <xf numFmtId="0" fontId="0" fillId="0" borderId="0" xfId="0" applyAlignment="1">
      <alignment horizontal="left" vertical="center" wrapText="1"/>
    </xf>
    <xf numFmtId="0" fontId="2" fillId="2" borderId="1" xfId="0" applyFont="1" applyFill="1" applyBorder="1" applyAlignment="1">
      <alignment horizontal="center" vertical="center"/>
    </xf>
    <xf numFmtId="0" fontId="3" fillId="0" borderId="0" xfId="0" applyFont="1" applyAlignment="1">
      <alignment horizontal="center" vertical="center"/>
    </xf>
    <xf numFmtId="49"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9" xfId="0" applyNumberFormat="1" applyBorder="1" applyAlignment="1">
      <alignment horizontal="center"/>
    </xf>
    <xf numFmtId="164" fontId="0" fillId="0" borderId="5" xfId="0" applyNumberForma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2" fillId="2" borderId="0" xfId="0" applyFont="1" applyFill="1" applyAlignment="1">
      <alignment horizontal="center" vertical="center" wrapText="1"/>
    </xf>
    <xf numFmtId="0" fontId="2"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oneCellAnchor>
    <xdr:from>
      <xdr:col>5</xdr:col>
      <xdr:colOff>33337</xdr:colOff>
      <xdr:row>6</xdr:row>
      <xdr:rowOff>57150</xdr:rowOff>
    </xdr:from>
    <xdr:ext cx="1204240" cy="409215"/>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4767262" y="1733550"/>
              <a:ext cx="1204240" cy="40921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900" b="0" i="1">
                        <a:latin typeface="Cambria Math" panose="02040503050406030204" pitchFamily="18" charset="0"/>
                      </a:rPr>
                      <m:t>𝑢</m:t>
                    </m:r>
                    <m:d>
                      <m:dPr>
                        <m:ctrlPr>
                          <a:rPr lang="en-US" sz="900" b="0" i="1">
                            <a:latin typeface="Cambria Math" panose="02040503050406030204" pitchFamily="18" charset="0"/>
                          </a:rPr>
                        </m:ctrlPr>
                      </m:dPr>
                      <m:e>
                        <m:r>
                          <a:rPr lang="en-US" sz="900" b="0" i="1">
                            <a:latin typeface="Cambria Math" panose="02040503050406030204" pitchFamily="18" charset="0"/>
                          </a:rPr>
                          <m:t>𝑇</m:t>
                        </m:r>
                      </m:e>
                    </m:d>
                    <m:r>
                      <a:rPr lang="en-US" sz="900" b="0" i="1">
                        <a:latin typeface="Cambria Math" panose="02040503050406030204" pitchFamily="18" charset="0"/>
                      </a:rPr>
                      <m:t>=</m:t>
                    </m:r>
                    <m:rad>
                      <m:radPr>
                        <m:degHide m:val="on"/>
                        <m:ctrlPr>
                          <a:rPr lang="en-US" sz="900" b="0" i="1">
                            <a:latin typeface="Cambria Math" panose="02040503050406030204" pitchFamily="18" charset="0"/>
                          </a:rPr>
                        </m:ctrlPr>
                      </m:radPr>
                      <m:deg/>
                      <m:e>
                        <m:sSup>
                          <m:sSupPr>
                            <m:ctrlPr>
                              <a:rPr lang="en-US" sz="900" b="0" i="1">
                                <a:latin typeface="Cambria Math" panose="02040503050406030204" pitchFamily="18" charset="0"/>
                              </a:rPr>
                            </m:ctrlPr>
                          </m:sSupPr>
                          <m:e>
                            <m:d>
                              <m:dPr>
                                <m:ctrlPr>
                                  <a:rPr lang="en-US" sz="900" b="0" i="1">
                                    <a:latin typeface="Cambria Math" panose="02040503050406030204" pitchFamily="18" charset="0"/>
                                  </a:rPr>
                                </m:ctrlPr>
                              </m:dPr>
                              <m:e>
                                <m:f>
                                  <m:fPr>
                                    <m:ctrlPr>
                                      <a:rPr lang="en-US" sz="900" b="0" i="1">
                                        <a:latin typeface="Cambria Math" panose="02040503050406030204" pitchFamily="18" charset="0"/>
                                      </a:rPr>
                                    </m:ctrlPr>
                                  </m:fPr>
                                  <m:num>
                                    <m:r>
                                      <a:rPr lang="en-US" sz="900" b="0" i="1">
                                        <a:latin typeface="Cambria Math" panose="02040503050406030204" pitchFamily="18" charset="0"/>
                                      </a:rPr>
                                      <m:t>𝜕</m:t>
                                    </m:r>
                                    <m:r>
                                      <a:rPr lang="en-CA" sz="900" b="0" i="1">
                                        <a:latin typeface="Cambria Math" panose="02040503050406030204" pitchFamily="18" charset="0"/>
                                      </a:rPr>
                                      <m:t>𝑇</m:t>
                                    </m:r>
                                  </m:num>
                                  <m:den>
                                    <m:r>
                                      <a:rPr lang="en-US" sz="900" b="0" i="1">
                                        <a:latin typeface="Cambria Math" panose="02040503050406030204" pitchFamily="18" charset="0"/>
                                      </a:rPr>
                                      <m:t>𝜕</m:t>
                                    </m:r>
                                    <m:r>
                                      <a:rPr lang="en-CA" sz="900" b="0" i="1">
                                        <a:latin typeface="Cambria Math" panose="02040503050406030204" pitchFamily="18" charset="0"/>
                                      </a:rPr>
                                      <m:t>𝑡</m:t>
                                    </m:r>
                                  </m:den>
                                </m:f>
                              </m:e>
                            </m:d>
                          </m:e>
                          <m:sup>
                            <m:r>
                              <a:rPr lang="en-US" sz="900" b="0" i="1">
                                <a:latin typeface="Cambria Math" panose="02040503050406030204" pitchFamily="18" charset="0"/>
                              </a:rPr>
                              <m:t>2</m:t>
                            </m:r>
                          </m:sup>
                        </m:sSup>
                        <m:sSup>
                          <m:sSupPr>
                            <m:ctrlPr>
                              <a:rPr lang="en-US" sz="900" b="0" i="1">
                                <a:latin typeface="Cambria Math" panose="02040503050406030204" pitchFamily="18" charset="0"/>
                              </a:rPr>
                            </m:ctrlPr>
                          </m:sSupPr>
                          <m:e>
                            <m:d>
                              <m:dPr>
                                <m:ctrlPr>
                                  <a:rPr lang="en-US" sz="900" b="0" i="1">
                                    <a:latin typeface="Cambria Math" panose="02040503050406030204" pitchFamily="18" charset="0"/>
                                  </a:rPr>
                                </m:ctrlPr>
                              </m:dPr>
                              <m:e>
                                <m:r>
                                  <a:rPr lang="en-US" sz="900" b="0" i="1">
                                    <a:latin typeface="Cambria Math" panose="02040503050406030204" pitchFamily="18" charset="0"/>
                                  </a:rPr>
                                  <m:t>𝑢</m:t>
                                </m:r>
                                <m:r>
                                  <a:rPr lang="en-US" sz="900" b="0" i="1">
                                    <a:latin typeface="Cambria Math" panose="02040503050406030204" pitchFamily="18" charset="0"/>
                                  </a:rPr>
                                  <m:t>(</m:t>
                                </m:r>
                                <m:r>
                                  <a:rPr lang="en-US" sz="900" b="0" i="1">
                                    <a:latin typeface="Cambria Math" panose="02040503050406030204" pitchFamily="18" charset="0"/>
                                  </a:rPr>
                                  <m:t>𝑡</m:t>
                                </m:r>
                                <m:r>
                                  <a:rPr lang="en-US" sz="900" b="0" i="1">
                                    <a:latin typeface="Cambria Math" panose="02040503050406030204" pitchFamily="18" charset="0"/>
                                  </a:rPr>
                                  <m:t>)</m:t>
                                </m:r>
                              </m:e>
                            </m:d>
                          </m:e>
                          <m:sup>
                            <m:r>
                              <a:rPr lang="en-US" sz="900" b="0" i="1">
                                <a:latin typeface="Cambria Math" panose="02040503050406030204" pitchFamily="18" charset="0"/>
                              </a:rPr>
                              <m:t>2</m:t>
                            </m:r>
                          </m:sup>
                        </m:sSup>
                      </m:e>
                    </m:rad>
                  </m:oMath>
                </m:oMathPara>
              </a14:m>
              <a:endParaRPr lang="en-US" sz="900"/>
            </a:p>
          </xdr:txBody>
        </xdr:sp>
      </mc:Choice>
      <mc:Fallback xmlns="">
        <xdr:sp macro="" textlink="">
          <xdr:nvSpPr>
            <xdr:cNvPr id="2" name="TextBox 1"/>
            <xdr:cNvSpPr txBox="1"/>
          </xdr:nvSpPr>
          <xdr:spPr>
            <a:xfrm>
              <a:off x="4767262" y="1733550"/>
              <a:ext cx="1204240" cy="40921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900" b="0" i="0">
                  <a:latin typeface="Cambria Math" panose="02040503050406030204" pitchFamily="18" charset="0"/>
                </a:rPr>
                <a:t>𝑢(𝑇)=√((𝜕</a:t>
              </a:r>
              <a:r>
                <a:rPr lang="en-CA" sz="900" b="0" i="0">
                  <a:latin typeface="Cambria Math" panose="02040503050406030204" pitchFamily="18" charset="0"/>
                </a:rPr>
                <a:t>𝑇</a:t>
              </a:r>
              <a:r>
                <a:rPr lang="en-US" sz="900" b="0" i="0">
                  <a:latin typeface="Cambria Math" panose="02040503050406030204" pitchFamily="18" charset="0"/>
                </a:rPr>
                <a:t>/𝜕</a:t>
              </a:r>
              <a:r>
                <a:rPr lang="en-CA" sz="900" b="0" i="0">
                  <a:latin typeface="Cambria Math" panose="02040503050406030204" pitchFamily="18" charset="0"/>
                </a:rPr>
                <a:t>𝑡</a:t>
              </a:r>
              <a:r>
                <a:rPr lang="en-US" sz="900" b="0" i="0">
                  <a:latin typeface="Cambria Math" panose="02040503050406030204" pitchFamily="18" charset="0"/>
                </a:rPr>
                <a:t>)^2 (𝑢(𝑡))^2 )</a:t>
              </a:r>
              <a:endParaRPr lang="en-US" sz="9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5</xdr:col>
      <xdr:colOff>52387</xdr:colOff>
      <xdr:row>14</xdr:row>
      <xdr:rowOff>28575</xdr:rowOff>
    </xdr:from>
    <xdr:ext cx="765787" cy="389530"/>
    <mc:AlternateContent xmlns:mc="http://schemas.openxmlformats.org/markup-compatibility/2006" xmlns:a14="http://schemas.microsoft.com/office/drawing/2010/main">
      <mc:Choice Requires="a14">
        <xdr:sp macro="" textlink="">
          <xdr:nvSpPr>
            <xdr:cNvPr id="7" name="TextBox 1">
              <a:extLst>
                <a:ext uri="{FF2B5EF4-FFF2-40B4-BE49-F238E27FC236}">
                  <a16:creationId xmlns:a16="http://schemas.microsoft.com/office/drawing/2014/main" id="{00000000-0008-0000-0300-000002000000}"/>
                </a:ext>
              </a:extLst>
            </xdr:cNvPr>
            <xdr:cNvSpPr txBox="1"/>
          </xdr:nvSpPr>
          <xdr:spPr>
            <a:xfrm>
              <a:off x="3633787" y="2962275"/>
              <a:ext cx="765787" cy="38953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nary>
                      <m:naryPr>
                        <m:chr m:val="∑"/>
                        <m:ctrlPr>
                          <a:rPr lang="en-US" sz="900" b="0" i="1">
                            <a:latin typeface="Cambria Math" panose="02040503050406030204" pitchFamily="18" charset="0"/>
                          </a:rPr>
                        </m:ctrlPr>
                      </m:naryPr>
                      <m:sub>
                        <m:r>
                          <m:rPr>
                            <m:brk m:alnAt="23"/>
                          </m:rPr>
                          <a:rPr lang="en-US" sz="900" b="0" i="1">
                            <a:latin typeface="Cambria Math" panose="02040503050406030204" pitchFamily="18" charset="0"/>
                          </a:rPr>
                          <m:t>𝑖</m:t>
                        </m:r>
                        <m:r>
                          <a:rPr lang="en-US" sz="900" b="0" i="1">
                            <a:latin typeface="Cambria Math" panose="02040503050406030204" pitchFamily="18" charset="0"/>
                          </a:rPr>
                          <m:t>=1</m:t>
                        </m:r>
                      </m:sub>
                      <m:sup>
                        <m:r>
                          <a:rPr lang="en-US" sz="900" b="0" i="1">
                            <a:latin typeface="Cambria Math" panose="02040503050406030204" pitchFamily="18" charset="0"/>
                          </a:rPr>
                          <m:t>𝑁</m:t>
                        </m:r>
                      </m:sup>
                      <m:e>
                        <m:sSup>
                          <m:sSupPr>
                            <m:ctrlPr>
                              <a:rPr lang="en-US" sz="900" b="0" i="1">
                                <a:latin typeface="Cambria Math" panose="02040503050406030204" pitchFamily="18" charset="0"/>
                              </a:rPr>
                            </m:ctrlPr>
                          </m:sSupPr>
                          <m:e>
                            <m:d>
                              <m:dPr>
                                <m:ctrlPr>
                                  <a:rPr lang="en-US" sz="900" b="0" i="1">
                                    <a:latin typeface="Cambria Math" panose="02040503050406030204" pitchFamily="18" charset="0"/>
                                  </a:rPr>
                                </m:ctrlPr>
                              </m:dPr>
                              <m:e>
                                <m:sSub>
                                  <m:sSubPr>
                                    <m:ctrlPr>
                                      <a:rPr lang="en-US" sz="900" b="0" i="1">
                                        <a:latin typeface="Cambria Math" panose="02040503050406030204" pitchFamily="18" charset="0"/>
                                      </a:rPr>
                                    </m:ctrlPr>
                                  </m:sSubPr>
                                  <m:e>
                                    <m:r>
                                      <a:rPr lang="en-US" sz="900" b="0" i="1">
                                        <a:latin typeface="Cambria Math" panose="02040503050406030204" pitchFamily="18" charset="0"/>
                                      </a:rPr>
                                      <m:t>𝑇</m:t>
                                    </m:r>
                                  </m:e>
                                  <m:sub>
                                    <m:r>
                                      <a:rPr lang="en-US" sz="900" b="0" i="1">
                                        <a:latin typeface="Cambria Math" panose="02040503050406030204" pitchFamily="18" charset="0"/>
                                      </a:rPr>
                                      <m:t>𝑖</m:t>
                                    </m:r>
                                  </m:sub>
                                </m:sSub>
                                <m:r>
                                  <a:rPr lang="en-US" sz="900" b="0" i="1">
                                    <a:latin typeface="Cambria Math" panose="02040503050406030204" pitchFamily="18" charset="0"/>
                                  </a:rPr>
                                  <m:t>−</m:t>
                                </m:r>
                                <m:sSub>
                                  <m:sSubPr>
                                    <m:ctrlPr>
                                      <a:rPr lang="en-US" sz="900" b="0" i="1">
                                        <a:latin typeface="Cambria Math" panose="02040503050406030204" pitchFamily="18" charset="0"/>
                                      </a:rPr>
                                    </m:ctrlPr>
                                  </m:sSubPr>
                                  <m:e>
                                    <m:r>
                                      <a:rPr lang="en-US" sz="900" b="0" i="1">
                                        <a:latin typeface="Cambria Math" panose="02040503050406030204" pitchFamily="18" charset="0"/>
                                      </a:rPr>
                                      <m:t>𝑇</m:t>
                                    </m:r>
                                  </m:e>
                                  <m:sub>
                                    <m:r>
                                      <a:rPr lang="en-US" sz="900" b="0" i="1">
                                        <a:latin typeface="Cambria Math" panose="02040503050406030204" pitchFamily="18" charset="0"/>
                                      </a:rPr>
                                      <m:t>𝑎𝑣𝑒</m:t>
                                    </m:r>
                                  </m:sub>
                                </m:sSub>
                              </m:e>
                            </m:d>
                          </m:e>
                          <m:sup>
                            <m:r>
                              <a:rPr lang="en-US" sz="900" b="0" i="1">
                                <a:latin typeface="Cambria Math" panose="02040503050406030204" pitchFamily="18" charset="0"/>
                              </a:rPr>
                              <m:t>2</m:t>
                            </m:r>
                          </m:sup>
                        </m:sSup>
                      </m:e>
                    </m:nary>
                  </m:oMath>
                </m:oMathPara>
              </a14:m>
              <a:endParaRPr lang="en-US" sz="900"/>
            </a:p>
          </xdr:txBody>
        </xdr:sp>
      </mc:Choice>
      <mc:Fallback xmlns="">
        <xdr:sp macro="" textlink="">
          <xdr:nvSpPr>
            <xdr:cNvPr id="2" name="TextBox 1"/>
            <xdr:cNvSpPr txBox="1"/>
          </xdr:nvSpPr>
          <xdr:spPr>
            <a:xfrm>
              <a:off x="3633787" y="2962275"/>
              <a:ext cx="765787" cy="38953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900" i="0">
                  <a:latin typeface="Cambria Math" panose="02040503050406030204" pitchFamily="18" charset="0"/>
                </a:rPr>
                <a:t>∑24_(</a:t>
              </a:r>
              <a:r>
                <a:rPr lang="en-US" sz="900" b="0" i="0">
                  <a:latin typeface="Cambria Math" panose="02040503050406030204" pitchFamily="18" charset="0"/>
                </a:rPr>
                <a:t>𝑖=1)^𝑁▒(𝑇_𝑖−𝑇_𝑎𝑣𝑒 )^2 </a:t>
              </a:r>
              <a:endParaRPr lang="en-US" sz="900"/>
            </a:p>
          </xdr:txBody>
        </xdr:sp>
      </mc:Fallback>
    </mc:AlternateContent>
    <xdr:clientData/>
  </xdr:oneCellAnchor>
  <xdr:oneCellAnchor>
    <xdr:from>
      <xdr:col>5</xdr:col>
      <xdr:colOff>52387</xdr:colOff>
      <xdr:row>15</xdr:row>
      <xdr:rowOff>9525</xdr:rowOff>
    </xdr:from>
    <xdr:ext cx="1223091" cy="409215"/>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3633787" y="3390900"/>
              <a:ext cx="1223091" cy="40921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𝜎</m:t>
                        </m:r>
                      </m:e>
                      <m:sub>
                        <m:r>
                          <a:rPr lang="en-US" sz="900" b="0" i="1">
                            <a:latin typeface="Cambria Math" panose="02040503050406030204" pitchFamily="18" charset="0"/>
                          </a:rPr>
                          <m:t>𝑇</m:t>
                        </m:r>
                      </m:sub>
                    </m:sSub>
                    <m:r>
                      <a:rPr lang="en-US" sz="900" b="0" i="1">
                        <a:latin typeface="Cambria Math" panose="02040503050406030204" pitchFamily="18" charset="0"/>
                      </a:rPr>
                      <m:t>=</m:t>
                    </m:r>
                    <m:rad>
                      <m:radPr>
                        <m:degHide m:val="on"/>
                        <m:ctrlPr>
                          <a:rPr lang="en-US" sz="900" b="0" i="1">
                            <a:latin typeface="Cambria Math" panose="02040503050406030204" pitchFamily="18" charset="0"/>
                          </a:rPr>
                        </m:ctrlPr>
                      </m:radPr>
                      <m:deg/>
                      <m:e>
                        <m:f>
                          <m:fPr>
                            <m:ctrlPr>
                              <a:rPr lang="en-US" sz="900" b="0" i="1">
                                <a:solidFill>
                                  <a:schemeClr val="tx1"/>
                                </a:solidFill>
                                <a:effectLst/>
                                <a:latin typeface="Cambria Math" panose="02040503050406030204" pitchFamily="18" charset="0"/>
                                <a:ea typeface="+mn-ea"/>
                                <a:cs typeface="+mn-cs"/>
                              </a:rPr>
                            </m:ctrlPr>
                          </m:fPr>
                          <m:num>
                            <m:nary>
                              <m:naryPr>
                                <m:chr m:val="∑"/>
                                <m:ctrlPr>
                                  <a:rPr lang="en-US" sz="900" b="0" i="1">
                                    <a:solidFill>
                                      <a:schemeClr val="tx1"/>
                                    </a:solidFill>
                                    <a:effectLst/>
                                    <a:latin typeface="Cambria Math" panose="02040503050406030204" pitchFamily="18" charset="0"/>
                                    <a:ea typeface="+mn-ea"/>
                                    <a:cs typeface="+mn-cs"/>
                                  </a:rPr>
                                </m:ctrlPr>
                              </m:naryPr>
                              <m:sub>
                                <m:r>
                                  <m:rPr>
                                    <m:brk m:alnAt="23"/>
                                  </m:rPr>
                                  <a:rPr lang="en-US" sz="900" b="0" i="1">
                                    <a:solidFill>
                                      <a:schemeClr val="tx1"/>
                                    </a:solidFill>
                                    <a:effectLst/>
                                    <a:latin typeface="Cambria Math" panose="02040503050406030204" pitchFamily="18" charset="0"/>
                                    <a:ea typeface="+mn-ea"/>
                                    <a:cs typeface="+mn-cs"/>
                                  </a:rPr>
                                  <m:t>𝑖</m:t>
                                </m:r>
                                <m:r>
                                  <a:rPr lang="en-US" sz="900" b="0" i="1">
                                    <a:solidFill>
                                      <a:schemeClr val="tx1"/>
                                    </a:solidFill>
                                    <a:effectLst/>
                                    <a:latin typeface="Cambria Math" panose="02040503050406030204" pitchFamily="18" charset="0"/>
                                    <a:ea typeface="+mn-ea"/>
                                    <a:cs typeface="+mn-cs"/>
                                  </a:rPr>
                                  <m:t>=1</m:t>
                                </m:r>
                              </m:sub>
                              <m:sup>
                                <m:r>
                                  <a:rPr lang="en-US" sz="900" b="0" i="1">
                                    <a:solidFill>
                                      <a:schemeClr val="tx1"/>
                                    </a:solidFill>
                                    <a:effectLst/>
                                    <a:latin typeface="Cambria Math" panose="02040503050406030204" pitchFamily="18" charset="0"/>
                                    <a:ea typeface="+mn-ea"/>
                                    <a:cs typeface="+mn-cs"/>
                                  </a:rPr>
                                  <m:t>𝑁</m:t>
                                </m:r>
                              </m:sup>
                              <m:e>
                                <m:sSup>
                                  <m:sSupPr>
                                    <m:ctrlPr>
                                      <a:rPr lang="en-US" sz="900" b="0" i="1">
                                        <a:solidFill>
                                          <a:schemeClr val="tx1"/>
                                        </a:solidFill>
                                        <a:effectLst/>
                                        <a:latin typeface="Cambria Math" panose="02040503050406030204" pitchFamily="18" charset="0"/>
                                        <a:ea typeface="+mn-ea"/>
                                        <a:cs typeface="+mn-cs"/>
                                      </a:rPr>
                                    </m:ctrlPr>
                                  </m:sSupPr>
                                  <m:e>
                                    <m:d>
                                      <m:dPr>
                                        <m:ctrlPr>
                                          <a:rPr lang="en-US" sz="900" b="0" i="1">
                                            <a:solidFill>
                                              <a:schemeClr val="tx1"/>
                                            </a:solidFill>
                                            <a:effectLst/>
                                            <a:latin typeface="Cambria Math" panose="02040503050406030204" pitchFamily="18" charset="0"/>
                                            <a:ea typeface="+mn-ea"/>
                                            <a:cs typeface="+mn-cs"/>
                                          </a:rPr>
                                        </m:ctrlPr>
                                      </m:dPr>
                                      <m:e>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𝑇</m:t>
                                            </m:r>
                                          </m:e>
                                          <m:sub>
                                            <m:r>
                                              <a:rPr lang="en-US" sz="900" b="0" i="1">
                                                <a:solidFill>
                                                  <a:schemeClr val="tx1"/>
                                                </a:solidFill>
                                                <a:effectLst/>
                                                <a:latin typeface="Cambria Math" panose="02040503050406030204" pitchFamily="18" charset="0"/>
                                                <a:ea typeface="+mn-ea"/>
                                                <a:cs typeface="+mn-cs"/>
                                              </a:rPr>
                                              <m:t>𝑖</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𝑇</m:t>
                                            </m:r>
                                          </m:e>
                                          <m:sub>
                                            <m:r>
                                              <a:rPr lang="en-US" sz="900" b="0" i="1">
                                                <a:solidFill>
                                                  <a:schemeClr val="tx1"/>
                                                </a:solidFill>
                                                <a:effectLst/>
                                                <a:latin typeface="Cambria Math" panose="02040503050406030204" pitchFamily="18" charset="0"/>
                                                <a:ea typeface="+mn-ea"/>
                                                <a:cs typeface="+mn-cs"/>
                                              </a:rPr>
                                              <m:t>𝑎𝑣𝑒</m:t>
                                            </m:r>
                                          </m:sub>
                                        </m:sSub>
                                      </m:e>
                                    </m:d>
                                  </m:e>
                                  <m:sup>
                                    <m:r>
                                      <a:rPr lang="en-US" sz="900" b="0" i="1">
                                        <a:solidFill>
                                          <a:schemeClr val="tx1"/>
                                        </a:solidFill>
                                        <a:effectLst/>
                                        <a:latin typeface="Cambria Math" panose="02040503050406030204" pitchFamily="18" charset="0"/>
                                        <a:ea typeface="+mn-ea"/>
                                        <a:cs typeface="+mn-cs"/>
                                      </a:rPr>
                                      <m:t>2</m:t>
                                    </m:r>
                                  </m:sup>
                                </m:sSup>
                              </m:e>
                            </m:nary>
                            <m:r>
                              <m:rPr>
                                <m:nor/>
                              </m:rPr>
                              <a:rPr lang="en-US" sz="900" i="0">
                                <a:effectLst/>
                              </a:rPr>
                              <m:t> </m:t>
                            </m:r>
                          </m:num>
                          <m:den>
                            <m:r>
                              <a:rPr lang="en-US" sz="900" b="0" i="1">
                                <a:effectLst/>
                                <a:latin typeface="Cambria Math" panose="02040503050406030204" pitchFamily="18" charset="0"/>
                              </a:rPr>
                              <m:t>𝑁</m:t>
                            </m:r>
                            <m:r>
                              <a:rPr lang="en-US" sz="900" b="0" i="1">
                                <a:effectLst/>
                                <a:latin typeface="Cambria Math" panose="02040503050406030204" pitchFamily="18" charset="0"/>
                              </a:rPr>
                              <m:t>−1</m:t>
                            </m:r>
                          </m:den>
                        </m:f>
                      </m:e>
                    </m:rad>
                  </m:oMath>
                </m:oMathPara>
              </a14:m>
              <a:endParaRPr lang="en-US" sz="900"/>
            </a:p>
          </xdr:txBody>
        </xdr:sp>
      </mc:Choice>
      <mc:Fallback xmlns="">
        <xdr:sp macro="" textlink="">
          <xdr:nvSpPr>
            <xdr:cNvPr id="3" name="TextBox 2"/>
            <xdr:cNvSpPr txBox="1"/>
          </xdr:nvSpPr>
          <xdr:spPr>
            <a:xfrm>
              <a:off x="3633787" y="3390900"/>
              <a:ext cx="1223091" cy="40921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900" b="0" i="0">
                  <a:latin typeface="Cambria Math" panose="02040503050406030204" pitchFamily="18" charset="0"/>
                </a:rPr>
                <a:t>𝜎_𝑇=√(</a:t>
              </a:r>
              <a:r>
                <a:rPr lang="en-US" sz="900" b="0" i="0">
                  <a:solidFill>
                    <a:schemeClr val="tx1"/>
                  </a:solidFill>
                  <a:effectLst/>
                  <a:latin typeface="Cambria Math" panose="02040503050406030204" pitchFamily="18" charset="0"/>
                  <a:ea typeface="+mn-ea"/>
                  <a:cs typeface="+mn-cs"/>
                </a:rPr>
                <a:t>(</a:t>
              </a:r>
              <a:r>
                <a:rPr lang="en-US" sz="900" b="0" i="0">
                  <a:solidFill>
                    <a:schemeClr val="tx1"/>
                  </a:solidFill>
                  <a:effectLst/>
                  <a:latin typeface="+mn-lt"/>
                  <a:ea typeface="+mn-ea"/>
                  <a:cs typeface="+mn-cs"/>
                </a:rPr>
                <a:t>∑_(𝑖=1)^𝑁▒(𝑇_𝑖−𝑇_𝑎𝑣𝑒 )^2  "</a:t>
              </a:r>
              <a:r>
                <a:rPr lang="en-US" sz="900" i="0">
                  <a:effectLst/>
                </a:rPr>
                <a:t> </a:t>
              </a:r>
              <a:r>
                <a:rPr lang="en-US" sz="900" i="0">
                  <a:effectLst/>
                  <a:latin typeface="Cambria Math" panose="02040503050406030204" pitchFamily="18" charset="0"/>
                </a:rPr>
                <a:t>" </a:t>
              </a:r>
              <a:r>
                <a:rPr lang="en-US" sz="900" b="0" i="0">
                  <a:solidFill>
                    <a:schemeClr val="tx1"/>
                  </a:solidFill>
                  <a:effectLst/>
                  <a:latin typeface="Cambria Math" panose="02040503050406030204" pitchFamily="18" charset="0"/>
                  <a:ea typeface="+mn-ea"/>
                  <a:cs typeface="+mn-cs"/>
                </a:rPr>
                <a:t>)/(</a:t>
              </a:r>
              <a:r>
                <a:rPr lang="en-US" sz="900" b="0" i="0">
                  <a:effectLst/>
                  <a:latin typeface="Cambria Math" panose="02040503050406030204" pitchFamily="18" charset="0"/>
                </a:rPr>
                <a:t>𝑁−1</a:t>
              </a:r>
              <a:r>
                <a:rPr lang="en-US" sz="900" b="0" i="0">
                  <a:solidFill>
                    <a:schemeClr val="tx1"/>
                  </a:solidFill>
                  <a:effectLst/>
                  <a:latin typeface="Cambria Math" panose="02040503050406030204" pitchFamily="18" charset="0"/>
                  <a:ea typeface="+mn-ea"/>
                  <a:cs typeface="+mn-cs"/>
                </a:rPr>
                <a:t>))</a:t>
              </a:r>
              <a:endParaRPr lang="en-US" sz="900"/>
            </a:p>
          </xdr:txBody>
        </xdr:sp>
      </mc:Fallback>
    </mc:AlternateContent>
    <xdr:clientData/>
  </xdr:oneCellAnchor>
  <xdr:oneCellAnchor>
    <xdr:from>
      <xdr:col>5</xdr:col>
      <xdr:colOff>90487</xdr:colOff>
      <xdr:row>16</xdr:row>
      <xdr:rowOff>95250</xdr:rowOff>
    </xdr:from>
    <xdr:ext cx="628505" cy="262188"/>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3671887" y="3924300"/>
              <a:ext cx="628505" cy="26218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𝑢</m:t>
                        </m:r>
                      </m:e>
                      <m:sub>
                        <m:r>
                          <a:rPr lang="en-CA" sz="900" b="0" i="1">
                            <a:latin typeface="Cambria Math" panose="02040503050406030204" pitchFamily="18" charset="0"/>
                          </a:rPr>
                          <m:t>𝐴</m:t>
                        </m:r>
                      </m:sub>
                    </m:sSub>
                    <m:d>
                      <m:dPr>
                        <m:ctrlPr>
                          <a:rPr lang="en-US" sz="900" b="0" i="1">
                            <a:latin typeface="Cambria Math" panose="02040503050406030204" pitchFamily="18" charset="0"/>
                          </a:rPr>
                        </m:ctrlPr>
                      </m:dPr>
                      <m:e>
                        <m:r>
                          <a:rPr lang="en-US" sz="900" b="0" i="1">
                            <a:latin typeface="Cambria Math" panose="02040503050406030204" pitchFamily="18" charset="0"/>
                          </a:rPr>
                          <m:t>𝑇</m:t>
                        </m:r>
                      </m:e>
                    </m:d>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𝜎</m:t>
                            </m:r>
                          </m:e>
                          <m:sub>
                            <m:r>
                              <a:rPr lang="en-US" sz="900" b="0" i="1">
                                <a:latin typeface="Cambria Math" panose="02040503050406030204" pitchFamily="18" charset="0"/>
                              </a:rPr>
                              <m:t>𝑇</m:t>
                            </m:r>
                          </m:sub>
                        </m:sSub>
                      </m:num>
                      <m:den>
                        <m:rad>
                          <m:radPr>
                            <m:degHide m:val="on"/>
                            <m:ctrlPr>
                              <a:rPr lang="en-US" sz="900" b="0" i="1">
                                <a:latin typeface="Cambria Math" panose="02040503050406030204" pitchFamily="18" charset="0"/>
                              </a:rPr>
                            </m:ctrlPr>
                          </m:radPr>
                          <m:deg/>
                          <m:e>
                            <m:r>
                              <a:rPr lang="en-CA" sz="900" b="0" i="1">
                                <a:latin typeface="Cambria Math" panose="02040503050406030204" pitchFamily="18" charset="0"/>
                              </a:rPr>
                              <m:t>𝑁</m:t>
                            </m:r>
                          </m:e>
                        </m:rad>
                      </m:den>
                    </m:f>
                  </m:oMath>
                </m:oMathPara>
              </a14:m>
              <a:endParaRPr lang="en-US" sz="900"/>
            </a:p>
          </xdr:txBody>
        </xdr:sp>
      </mc:Choice>
      <mc:Fallback xmlns="">
        <xdr:sp macro="" textlink="">
          <xdr:nvSpPr>
            <xdr:cNvPr id="4" name="TextBox 3"/>
            <xdr:cNvSpPr txBox="1"/>
          </xdr:nvSpPr>
          <xdr:spPr>
            <a:xfrm>
              <a:off x="3671887" y="3924300"/>
              <a:ext cx="628505" cy="26218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900" b="0" i="0">
                  <a:latin typeface="Cambria Math" panose="02040503050406030204" pitchFamily="18" charset="0"/>
                </a:rPr>
                <a:t>𝑢</a:t>
              </a:r>
              <a:r>
                <a:rPr lang="en-CA" sz="900" b="0" i="0">
                  <a:latin typeface="Cambria Math" panose="02040503050406030204" pitchFamily="18" charset="0"/>
                </a:rPr>
                <a:t>_𝐴</a:t>
              </a:r>
              <a:r>
                <a:rPr lang="en-US" sz="900" b="0" i="0">
                  <a:latin typeface="Cambria Math" panose="02040503050406030204" pitchFamily="18" charset="0"/>
                </a:rPr>
                <a:t> (𝑇)=𝜎_𝑇/√</a:t>
              </a:r>
              <a:r>
                <a:rPr lang="en-CA" sz="900" b="0" i="0">
                  <a:latin typeface="Cambria Math" panose="02040503050406030204" pitchFamily="18" charset="0"/>
                </a:rPr>
                <a:t>𝑁</a:t>
              </a:r>
              <a:endParaRPr lang="en-US" sz="900"/>
            </a:p>
          </xdr:txBody>
        </xdr:sp>
      </mc:Fallback>
    </mc:AlternateContent>
    <xdr:clientData/>
  </xdr:oneCellAnchor>
  <xdr:oneCellAnchor>
    <xdr:from>
      <xdr:col>5</xdr:col>
      <xdr:colOff>114300</xdr:colOff>
      <xdr:row>17</xdr:row>
      <xdr:rowOff>123825</xdr:rowOff>
    </xdr:from>
    <xdr:ext cx="1899559" cy="344453"/>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3695700" y="4400550"/>
              <a:ext cx="1899559"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CA" sz="1100" b="0" i="1">
                        <a:latin typeface="Cambria Math" panose="02040503050406030204" pitchFamily="18" charset="0"/>
                      </a:rPr>
                      <m:t>𝑢</m:t>
                    </m:r>
                    <m:d>
                      <m:dPr>
                        <m:ctrlPr>
                          <a:rPr lang="en-CA" sz="1100" b="0" i="1">
                            <a:latin typeface="Cambria Math" panose="02040503050406030204" pitchFamily="18" charset="0"/>
                          </a:rPr>
                        </m:ctrlPr>
                      </m:dPr>
                      <m:e>
                        <m:r>
                          <a:rPr lang="en-CA" sz="1100" b="0" i="1">
                            <a:latin typeface="Cambria Math" panose="02040503050406030204" pitchFamily="18" charset="0"/>
                          </a:rPr>
                          <m:t>𝑇</m:t>
                        </m:r>
                      </m:e>
                    </m:d>
                    <m:r>
                      <a:rPr lang="en-CA" sz="1100" b="0" i="1">
                        <a:latin typeface="Cambria Math" panose="02040503050406030204" pitchFamily="18" charset="0"/>
                      </a:rPr>
                      <m:t>=</m:t>
                    </m:r>
                    <m:rad>
                      <m:radPr>
                        <m:degHide m:val="on"/>
                        <m:ctrlPr>
                          <a:rPr lang="en-CA" sz="1100" b="0" i="1">
                            <a:latin typeface="Cambria Math" panose="02040503050406030204" pitchFamily="18" charset="0"/>
                          </a:rPr>
                        </m:ctrlPr>
                      </m:radPr>
                      <m:deg/>
                      <m:e>
                        <m:sSup>
                          <m:sSupPr>
                            <m:ctrlPr>
                              <a:rPr lang="en-CA" sz="1100" b="0" i="1">
                                <a:latin typeface="Cambria Math" panose="02040503050406030204" pitchFamily="18" charset="0"/>
                              </a:rPr>
                            </m:ctrlPr>
                          </m:sSupPr>
                          <m:e>
                            <m:d>
                              <m:dPr>
                                <m:ctrlPr>
                                  <a:rPr lang="en-CA" sz="1100" b="0" i="1">
                                    <a:latin typeface="Cambria Math" panose="02040503050406030204" pitchFamily="18" charset="0"/>
                                  </a:rPr>
                                </m:ctrlPr>
                              </m:dPr>
                              <m:e>
                                <m:sSub>
                                  <m:sSubPr>
                                    <m:ctrlPr>
                                      <a:rPr lang="en-CA" sz="1100" b="0" i="1">
                                        <a:latin typeface="Cambria Math" panose="02040503050406030204" pitchFamily="18" charset="0"/>
                                      </a:rPr>
                                    </m:ctrlPr>
                                  </m:sSubPr>
                                  <m:e>
                                    <m:r>
                                      <a:rPr lang="en-CA" sz="1100" b="0" i="1">
                                        <a:latin typeface="Cambria Math" panose="02040503050406030204" pitchFamily="18" charset="0"/>
                                      </a:rPr>
                                      <m:t>𝑢</m:t>
                                    </m:r>
                                  </m:e>
                                  <m:sub>
                                    <m:r>
                                      <a:rPr lang="en-CA" sz="1100" b="0" i="1">
                                        <a:latin typeface="Cambria Math" panose="02040503050406030204" pitchFamily="18" charset="0"/>
                                      </a:rPr>
                                      <m:t>𝐴</m:t>
                                    </m:r>
                                  </m:sub>
                                </m:sSub>
                                <m:d>
                                  <m:dPr>
                                    <m:ctrlPr>
                                      <a:rPr lang="en-CA" sz="1100" b="0" i="1">
                                        <a:latin typeface="Cambria Math" panose="02040503050406030204" pitchFamily="18" charset="0"/>
                                      </a:rPr>
                                    </m:ctrlPr>
                                  </m:dPr>
                                  <m:e>
                                    <m:r>
                                      <a:rPr lang="en-CA" sz="1100" b="0" i="1">
                                        <a:latin typeface="Cambria Math" panose="02040503050406030204" pitchFamily="18" charset="0"/>
                                      </a:rPr>
                                      <m:t>𝑇</m:t>
                                    </m:r>
                                  </m:e>
                                </m:d>
                              </m:e>
                            </m:d>
                          </m:e>
                          <m:sup>
                            <m:r>
                              <a:rPr lang="en-CA" sz="1100" b="0" i="1">
                                <a:latin typeface="Cambria Math" panose="02040503050406030204" pitchFamily="18" charset="0"/>
                              </a:rPr>
                              <m:t>2</m:t>
                            </m:r>
                          </m:sup>
                        </m:sSup>
                        <m:r>
                          <a:rPr lang="en-CA" sz="1100" b="0" i="1">
                            <a:latin typeface="Cambria Math" panose="02040503050406030204" pitchFamily="18" charset="0"/>
                          </a:rPr>
                          <m:t>+</m:t>
                        </m:r>
                        <m:sSup>
                          <m:sSupPr>
                            <m:ctrlPr>
                              <a:rPr lang="en-CA" sz="1100" b="0" i="1">
                                <a:solidFill>
                                  <a:schemeClr val="tx1"/>
                                </a:solidFill>
                                <a:effectLst/>
                                <a:latin typeface="Cambria Math" panose="02040503050406030204" pitchFamily="18" charset="0"/>
                                <a:ea typeface="+mn-ea"/>
                                <a:cs typeface="+mn-cs"/>
                              </a:rPr>
                            </m:ctrlPr>
                          </m:sSupPr>
                          <m:e>
                            <m:d>
                              <m:dPr>
                                <m:ctrlPr>
                                  <a:rPr lang="en-CA" sz="1100" b="0" i="1">
                                    <a:solidFill>
                                      <a:schemeClr val="tx1"/>
                                    </a:solidFill>
                                    <a:effectLst/>
                                    <a:latin typeface="Cambria Math" panose="02040503050406030204" pitchFamily="18" charset="0"/>
                                    <a:ea typeface="+mn-ea"/>
                                    <a:cs typeface="+mn-cs"/>
                                  </a:rPr>
                                </m:ctrlPr>
                              </m:dPr>
                              <m:e>
                                <m:sSub>
                                  <m:sSubPr>
                                    <m:ctrlPr>
                                      <a:rPr lang="en-CA" sz="1100" b="0" i="1">
                                        <a:solidFill>
                                          <a:schemeClr val="tx1"/>
                                        </a:solidFill>
                                        <a:effectLst/>
                                        <a:latin typeface="Cambria Math" panose="02040503050406030204" pitchFamily="18" charset="0"/>
                                        <a:ea typeface="+mn-ea"/>
                                        <a:cs typeface="+mn-cs"/>
                                      </a:rPr>
                                    </m:ctrlPr>
                                  </m:sSubPr>
                                  <m:e>
                                    <m:r>
                                      <a:rPr lang="en-CA" sz="1100" b="0" i="1">
                                        <a:solidFill>
                                          <a:schemeClr val="tx1"/>
                                        </a:solidFill>
                                        <a:effectLst/>
                                        <a:latin typeface="Cambria Math" panose="02040503050406030204" pitchFamily="18" charset="0"/>
                                        <a:ea typeface="+mn-ea"/>
                                        <a:cs typeface="+mn-cs"/>
                                      </a:rPr>
                                      <m:t>𝑢</m:t>
                                    </m:r>
                                  </m:e>
                                  <m:sub>
                                    <m:r>
                                      <a:rPr lang="en-CA" sz="1100" b="0" i="1">
                                        <a:solidFill>
                                          <a:schemeClr val="tx1"/>
                                        </a:solidFill>
                                        <a:effectLst/>
                                        <a:latin typeface="Cambria Math" panose="02040503050406030204" pitchFamily="18" charset="0"/>
                                        <a:ea typeface="+mn-ea"/>
                                        <a:cs typeface="+mn-cs"/>
                                      </a:rPr>
                                      <m:t>𝐵</m:t>
                                    </m:r>
                                  </m:sub>
                                </m:sSub>
                                <m:d>
                                  <m:dPr>
                                    <m:ctrlPr>
                                      <a:rPr lang="en-CA" sz="1100" b="0" i="1">
                                        <a:solidFill>
                                          <a:schemeClr val="tx1"/>
                                        </a:solidFill>
                                        <a:effectLst/>
                                        <a:latin typeface="Cambria Math" panose="02040503050406030204" pitchFamily="18" charset="0"/>
                                        <a:ea typeface="+mn-ea"/>
                                        <a:cs typeface="+mn-cs"/>
                                      </a:rPr>
                                    </m:ctrlPr>
                                  </m:dPr>
                                  <m:e>
                                    <m:r>
                                      <a:rPr lang="en-CA" sz="1100" b="0" i="1">
                                        <a:solidFill>
                                          <a:schemeClr val="tx1"/>
                                        </a:solidFill>
                                        <a:effectLst/>
                                        <a:latin typeface="Cambria Math" panose="02040503050406030204" pitchFamily="18" charset="0"/>
                                        <a:ea typeface="+mn-ea"/>
                                        <a:cs typeface="+mn-cs"/>
                                      </a:rPr>
                                      <m:t>𝑇</m:t>
                                    </m:r>
                                  </m:e>
                                </m:d>
                              </m:e>
                            </m:d>
                          </m:e>
                          <m:sup>
                            <m:r>
                              <a:rPr lang="en-CA" sz="1100" b="0" i="1">
                                <a:solidFill>
                                  <a:schemeClr val="tx1"/>
                                </a:solidFill>
                                <a:effectLst/>
                                <a:latin typeface="Cambria Math" panose="02040503050406030204" pitchFamily="18" charset="0"/>
                                <a:ea typeface="+mn-ea"/>
                                <a:cs typeface="+mn-cs"/>
                              </a:rPr>
                              <m:t>2</m:t>
                            </m:r>
                          </m:sup>
                        </m:sSup>
                        <m:r>
                          <a:rPr lang="en-CA" sz="1100" b="0" i="1">
                            <a:latin typeface="Cambria Math" panose="02040503050406030204" pitchFamily="18" charset="0"/>
                          </a:rPr>
                          <m:t> </m:t>
                        </m:r>
                      </m:e>
                    </m:rad>
                  </m:oMath>
                </m:oMathPara>
              </a14:m>
              <a:endParaRPr lang="en-CA" sz="1100"/>
            </a:p>
          </xdr:txBody>
        </xdr:sp>
      </mc:Choice>
      <mc:Fallback xmlns="">
        <xdr:sp macro="" textlink="">
          <xdr:nvSpPr>
            <xdr:cNvPr id="5" name="TextBox 4"/>
            <xdr:cNvSpPr txBox="1"/>
          </xdr:nvSpPr>
          <xdr:spPr>
            <a:xfrm>
              <a:off x="3695700" y="4400550"/>
              <a:ext cx="1899559"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CA" sz="1100" b="0" i="0">
                  <a:latin typeface="Cambria Math" panose="02040503050406030204" pitchFamily="18" charset="0"/>
                </a:rPr>
                <a:t>𝑢(𝑇)=√((𝑢_𝐴 (𝑇))^2+</a:t>
              </a:r>
              <a:r>
                <a:rPr lang="en-CA" sz="1100" b="0" i="0">
                  <a:solidFill>
                    <a:schemeClr val="tx1"/>
                  </a:solidFill>
                  <a:effectLst/>
                  <a:latin typeface="+mn-lt"/>
                  <a:ea typeface="+mn-ea"/>
                  <a:cs typeface="+mn-cs"/>
                </a:rPr>
                <a:t>(𝑢_</a:t>
              </a:r>
              <a:r>
                <a:rPr lang="en-CA" sz="1100" b="0" i="0">
                  <a:solidFill>
                    <a:schemeClr val="tx1"/>
                  </a:solidFill>
                  <a:effectLst/>
                  <a:latin typeface="Cambria Math" panose="02040503050406030204" pitchFamily="18" charset="0"/>
                  <a:ea typeface="+mn-ea"/>
                  <a:cs typeface="+mn-cs"/>
                </a:rPr>
                <a:t>𝐵</a:t>
              </a:r>
              <a:r>
                <a:rPr lang="en-CA" sz="1100" b="0" i="0">
                  <a:solidFill>
                    <a:schemeClr val="tx1"/>
                  </a:solidFill>
                  <a:effectLst/>
                  <a:latin typeface="+mn-lt"/>
                  <a:ea typeface="+mn-ea"/>
                  <a:cs typeface="+mn-cs"/>
                </a:rPr>
                <a:t> (𝑇))^2</a:t>
              </a:r>
              <a:r>
                <a:rPr lang="en-CA" sz="1100" b="0" i="0">
                  <a:solidFill>
                    <a:schemeClr val="tx1"/>
                  </a:solidFill>
                  <a:effectLst/>
                  <a:latin typeface="Cambria Math" panose="02040503050406030204" pitchFamily="18" charset="0"/>
                  <a:ea typeface="+mn-ea"/>
                  <a:cs typeface="+mn-cs"/>
                </a:rPr>
                <a:t> </a:t>
              </a:r>
              <a:r>
                <a:rPr lang="en-CA" sz="1100" b="0" i="0">
                  <a:latin typeface="Cambria Math" panose="02040503050406030204" pitchFamily="18" charset="0"/>
                </a:rPr>
                <a:t> )</a:t>
              </a:r>
              <a:endParaRPr lang="en-CA" sz="1100"/>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5"/>
  <sheetViews>
    <sheetView workbookViewId="0">
      <selection activeCell="D3" sqref="D3:F15"/>
    </sheetView>
  </sheetViews>
  <sheetFormatPr defaultRowHeight="14.45"/>
  <cols>
    <col min="3" max="3" width="6.85546875" customWidth="1"/>
    <col min="4" max="4" width="16.7109375" style="7" customWidth="1"/>
    <col min="5" max="5" width="18.7109375" customWidth="1"/>
    <col min="6" max="6" width="11.7109375" bestFit="1" customWidth="1"/>
    <col min="7" max="7" width="13.5703125" customWidth="1"/>
    <col min="8" max="8" width="51.85546875" customWidth="1"/>
    <col min="9" max="9" width="11.140625" bestFit="1" customWidth="1"/>
  </cols>
  <sheetData>
    <row r="1" spans="1:9">
      <c r="A1" s="13"/>
      <c r="B1" s="50" t="s">
        <v>0</v>
      </c>
      <c r="C1" s="50"/>
      <c r="D1" s="50"/>
      <c r="E1" s="50"/>
      <c r="F1" s="50"/>
      <c r="G1" s="50"/>
      <c r="H1" s="13"/>
    </row>
    <row r="3" spans="1:9" s="5" customFormat="1">
      <c r="D3" s="15" t="s">
        <v>1</v>
      </c>
      <c r="E3" s="15" t="s">
        <v>2</v>
      </c>
      <c r="F3" s="15" t="s">
        <v>3</v>
      </c>
      <c r="H3" s="52" t="s">
        <v>4</v>
      </c>
      <c r="I3" s="53"/>
    </row>
    <row r="4" spans="1:9" s="5" customFormat="1">
      <c r="D4" s="15">
        <v>1</v>
      </c>
      <c r="E4" s="31">
        <v>5.25</v>
      </c>
      <c r="F4" s="14">
        <f>ABS(E4-5)</f>
        <v>0.25</v>
      </c>
      <c r="H4" s="35" t="s">
        <v>5</v>
      </c>
      <c r="I4" s="36">
        <v>0.13200000000000001</v>
      </c>
    </row>
    <row r="5" spans="1:9" s="5" customFormat="1">
      <c r="D5" s="15">
        <v>2</v>
      </c>
      <c r="E5" s="32">
        <v>4.87</v>
      </c>
      <c r="F5" s="14">
        <f t="shared" ref="F5:F15" si="0">ABS(E5-5)</f>
        <v>0.12999999999999989</v>
      </c>
      <c r="H5" s="35" t="s">
        <v>6</v>
      </c>
      <c r="I5" s="36">
        <v>6.3E-2</v>
      </c>
    </row>
    <row r="6" spans="1:9" s="5" customFormat="1">
      <c r="D6" s="15">
        <v>3</v>
      </c>
      <c r="E6" s="32">
        <v>4.93</v>
      </c>
      <c r="F6" s="14">
        <f t="shared" si="0"/>
        <v>7.0000000000000284E-2</v>
      </c>
      <c r="H6" s="35" t="s">
        <v>7</v>
      </c>
      <c r="I6" s="36">
        <v>0.13200000000000001</v>
      </c>
    </row>
    <row r="7" spans="1:9" s="5" customFormat="1">
      <c r="D7" s="15">
        <v>4</v>
      </c>
      <c r="E7" s="32">
        <v>5.12</v>
      </c>
      <c r="F7" s="14">
        <f t="shared" si="0"/>
        <v>0.12000000000000011</v>
      </c>
      <c r="H7" s="35" t="s">
        <v>8</v>
      </c>
      <c r="I7" s="36">
        <v>6.3E-2</v>
      </c>
    </row>
    <row r="8" spans="1:9">
      <c r="D8" s="15">
        <v>5</v>
      </c>
      <c r="E8" s="33">
        <v>5.13</v>
      </c>
      <c r="F8" s="14">
        <f t="shared" si="0"/>
        <v>0.12999999999999989</v>
      </c>
      <c r="H8" s="35" t="s">
        <v>9</v>
      </c>
      <c r="I8" s="36">
        <v>6.3E-2</v>
      </c>
    </row>
    <row r="9" spans="1:9">
      <c r="D9" s="15">
        <v>6</v>
      </c>
      <c r="E9" s="33">
        <v>4.87</v>
      </c>
      <c r="F9" s="14">
        <f t="shared" si="0"/>
        <v>0.12999999999999989</v>
      </c>
      <c r="H9" s="35" t="s">
        <v>10</v>
      </c>
      <c r="I9" s="36">
        <v>0.13166666699999999</v>
      </c>
    </row>
    <row r="10" spans="1:9">
      <c r="D10" s="15">
        <v>7</v>
      </c>
      <c r="E10" s="33">
        <v>4.91</v>
      </c>
      <c r="F10" s="14">
        <f t="shared" si="0"/>
        <v>8.9999999999999858E-2</v>
      </c>
    </row>
    <row r="11" spans="1:9" s="10" customFormat="1">
      <c r="D11" s="15">
        <v>8</v>
      </c>
      <c r="E11" s="33">
        <v>5.05</v>
      </c>
      <c r="F11" s="14">
        <f t="shared" si="0"/>
        <v>4.9999999999999822E-2</v>
      </c>
    </row>
    <row r="12" spans="1:9" s="10" customFormat="1">
      <c r="B12" s="12"/>
      <c r="C12" s="12"/>
      <c r="D12" s="15">
        <v>9</v>
      </c>
      <c r="E12" s="34">
        <v>5.14</v>
      </c>
      <c r="F12" s="14">
        <f t="shared" si="0"/>
        <v>0.13999999999999968</v>
      </c>
      <c r="G12" s="12"/>
    </row>
    <row r="13" spans="1:9" s="10" customFormat="1">
      <c r="D13" s="15">
        <v>10</v>
      </c>
      <c r="E13" s="34">
        <v>5.25</v>
      </c>
      <c r="F13" s="14">
        <f t="shared" si="0"/>
        <v>0.25</v>
      </c>
    </row>
    <row r="14" spans="1:9" s="10" customFormat="1">
      <c r="D14" s="15">
        <v>11</v>
      </c>
      <c r="E14" s="34">
        <v>5.08</v>
      </c>
      <c r="F14" s="14">
        <f t="shared" si="0"/>
        <v>8.0000000000000071E-2</v>
      </c>
      <c r="G14" s="11"/>
    </row>
    <row r="15" spans="1:9" s="10" customFormat="1">
      <c r="D15" s="15">
        <v>12</v>
      </c>
      <c r="E15" s="34">
        <v>5.14</v>
      </c>
      <c r="F15" s="14">
        <f t="shared" si="0"/>
        <v>0.13999999999999968</v>
      </c>
      <c r="G15" s="11"/>
    </row>
    <row r="16" spans="1:9" ht="20.25" customHeight="1">
      <c r="D16" s="11"/>
      <c r="E16" s="5"/>
      <c r="F16" s="5">
        <f>AVERAGE(F4:F15)</f>
        <v>0.1316666666666666</v>
      </c>
      <c r="G16" s="5"/>
    </row>
    <row r="17" spans="3:8" ht="20.25" customHeight="1">
      <c r="C17" s="51" t="s">
        <v>11</v>
      </c>
      <c r="D17" s="51"/>
      <c r="E17" s="51"/>
      <c r="F17" s="51"/>
      <c r="G17" s="51"/>
      <c r="H17" s="51"/>
    </row>
    <row r="18" spans="3:8" ht="20.25" customHeight="1">
      <c r="D18" s="11"/>
      <c r="E18" s="5"/>
      <c r="F18" s="5"/>
      <c r="G18" s="5"/>
    </row>
    <row r="19" spans="3:8" ht="20.25" customHeight="1">
      <c r="D19" s="11"/>
      <c r="E19" s="5"/>
      <c r="F19" s="5"/>
      <c r="G19" s="5"/>
    </row>
    <row r="20" spans="3:8" ht="20.25" customHeight="1">
      <c r="D20" s="11"/>
      <c r="E20" s="5"/>
      <c r="F20" s="5"/>
      <c r="G20" s="5"/>
    </row>
    <row r="21" spans="3:8" ht="20.25" customHeight="1">
      <c r="D21" s="11"/>
      <c r="E21" s="5"/>
      <c r="F21" s="5"/>
      <c r="G21" s="5"/>
    </row>
    <row r="22" spans="3:8" ht="20.25" customHeight="1">
      <c r="D22" s="11"/>
      <c r="E22" s="5"/>
      <c r="F22" s="5"/>
      <c r="G22" s="5"/>
    </row>
    <row r="24" spans="3:8" ht="30" customHeight="1">
      <c r="D24" s="11"/>
      <c r="F24" s="11"/>
    </row>
    <row r="25" spans="3:8" ht="32.25" customHeight="1">
      <c r="F25" s="11"/>
    </row>
  </sheetData>
  <mergeCells count="3">
    <mergeCell ref="C17:H17"/>
    <mergeCell ref="B1:G1"/>
    <mergeCell ref="H3:I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60"/>
  <sheetViews>
    <sheetView workbookViewId="0">
      <selection activeCell="M55" sqref="M55"/>
    </sheetView>
  </sheetViews>
  <sheetFormatPr defaultRowHeight="14.45"/>
  <sheetData>
    <row r="2" spans="1:11">
      <c r="B2" s="54" t="s">
        <v>12</v>
      </c>
      <c r="C2" s="54"/>
      <c r="D2" s="54"/>
      <c r="E2" s="54"/>
      <c r="F2" s="54"/>
      <c r="G2" s="54"/>
      <c r="H2" s="54"/>
      <c r="I2" s="54"/>
      <c r="J2" s="54"/>
    </row>
    <row r="3" spans="1:11">
      <c r="A3" s="55" t="s">
        <v>13</v>
      </c>
      <c r="B3" s="55"/>
      <c r="C3" s="55"/>
      <c r="D3" s="55"/>
      <c r="E3" s="55"/>
      <c r="F3" s="55"/>
      <c r="G3" s="55"/>
      <c r="H3" s="55"/>
      <c r="I3" s="55"/>
      <c r="J3" s="55"/>
      <c r="K3" s="55"/>
    </row>
    <row r="4" spans="1:11">
      <c r="A4" s="55"/>
      <c r="B4" s="55"/>
      <c r="C4" s="55"/>
      <c r="D4" s="55"/>
      <c r="E4" s="55"/>
      <c r="F4" s="55"/>
      <c r="G4" s="55"/>
      <c r="H4" s="55"/>
      <c r="I4" s="55"/>
      <c r="J4" s="55"/>
      <c r="K4" s="55"/>
    </row>
    <row r="5" spans="1:11">
      <c r="A5" s="55"/>
      <c r="B5" s="55"/>
      <c r="C5" s="55"/>
      <c r="D5" s="55"/>
      <c r="E5" s="55"/>
      <c r="F5" s="55"/>
      <c r="G5" s="55"/>
      <c r="H5" s="55"/>
      <c r="I5" s="55"/>
      <c r="J5" s="55"/>
      <c r="K5" s="55"/>
    </row>
    <row r="6" spans="1:11">
      <c r="A6" s="55"/>
      <c r="B6" s="55"/>
      <c r="C6" s="55"/>
      <c r="D6" s="55"/>
      <c r="E6" s="55"/>
      <c r="F6" s="55"/>
      <c r="G6" s="55"/>
      <c r="H6" s="55"/>
      <c r="I6" s="55"/>
      <c r="J6" s="55"/>
      <c r="K6" s="55"/>
    </row>
    <row r="7" spans="1:11">
      <c r="A7" s="55"/>
      <c r="B7" s="55"/>
      <c r="C7" s="55"/>
      <c r="D7" s="55"/>
      <c r="E7" s="55"/>
      <c r="F7" s="55"/>
      <c r="G7" s="55"/>
      <c r="H7" s="55"/>
      <c r="I7" s="55"/>
      <c r="J7" s="55"/>
      <c r="K7" s="55"/>
    </row>
    <row r="8" spans="1:11">
      <c r="A8" s="55"/>
      <c r="B8" s="55"/>
      <c r="C8" s="55"/>
      <c r="D8" s="55"/>
      <c r="E8" s="55"/>
      <c r="F8" s="55"/>
      <c r="G8" s="55"/>
      <c r="H8" s="55"/>
      <c r="I8" s="55"/>
      <c r="J8" s="55"/>
      <c r="K8" s="55"/>
    </row>
    <row r="9" spans="1:11">
      <c r="A9" s="55"/>
      <c r="B9" s="55"/>
      <c r="C9" s="55"/>
      <c r="D9" s="55"/>
      <c r="E9" s="55"/>
      <c r="F9" s="55"/>
      <c r="G9" s="55"/>
      <c r="H9" s="55"/>
      <c r="I9" s="55"/>
      <c r="J9" s="55"/>
      <c r="K9" s="55"/>
    </row>
    <row r="10" spans="1:11">
      <c r="A10" s="55"/>
      <c r="B10" s="55"/>
      <c r="C10" s="55"/>
      <c r="D10" s="55"/>
      <c r="E10" s="55"/>
      <c r="F10" s="55"/>
      <c r="G10" s="55"/>
      <c r="H10" s="55"/>
      <c r="I10" s="55"/>
      <c r="J10" s="55"/>
      <c r="K10" s="55"/>
    </row>
    <row r="12" spans="1:11">
      <c r="B12" s="54" t="s">
        <v>14</v>
      </c>
      <c r="C12" s="54"/>
      <c r="D12" s="54"/>
      <c r="E12" s="54"/>
      <c r="F12" s="54"/>
      <c r="G12" s="54"/>
      <c r="H12" s="54"/>
      <c r="I12" s="54"/>
      <c r="J12" s="54"/>
    </row>
    <row r="13" spans="1:11">
      <c r="A13" s="55" t="s">
        <v>15</v>
      </c>
      <c r="B13" s="55"/>
      <c r="C13" s="55"/>
      <c r="D13" s="55"/>
      <c r="E13" s="55"/>
      <c r="F13" s="55"/>
      <c r="G13" s="55"/>
      <c r="H13" s="55"/>
      <c r="I13" s="55"/>
      <c r="J13" s="55"/>
      <c r="K13" s="55"/>
    </row>
    <row r="14" spans="1:11">
      <c r="A14" s="55"/>
      <c r="B14" s="55"/>
      <c r="C14" s="55"/>
      <c r="D14" s="55"/>
      <c r="E14" s="55"/>
      <c r="F14" s="55"/>
      <c r="G14" s="55"/>
      <c r="H14" s="55"/>
      <c r="I14" s="55"/>
      <c r="J14" s="55"/>
      <c r="K14" s="55"/>
    </row>
    <row r="15" spans="1:11">
      <c r="A15" s="55"/>
      <c r="B15" s="55"/>
      <c r="C15" s="55"/>
      <c r="D15" s="55"/>
      <c r="E15" s="55"/>
      <c r="F15" s="55"/>
      <c r="G15" s="55"/>
      <c r="H15" s="55"/>
      <c r="I15" s="55"/>
      <c r="J15" s="55"/>
      <c r="K15" s="55"/>
    </row>
    <row r="16" spans="1:11">
      <c r="A16" s="55"/>
      <c r="B16" s="55"/>
      <c r="C16" s="55"/>
      <c r="D16" s="55"/>
      <c r="E16" s="55"/>
      <c r="F16" s="55"/>
      <c r="G16" s="55"/>
      <c r="H16" s="55"/>
      <c r="I16" s="55"/>
      <c r="J16" s="55"/>
      <c r="K16" s="55"/>
    </row>
    <row r="17" spans="1:11">
      <c r="A17" s="55"/>
      <c r="B17" s="55"/>
      <c r="C17" s="55"/>
      <c r="D17" s="55"/>
      <c r="E17" s="55"/>
      <c r="F17" s="55"/>
      <c r="G17" s="55"/>
      <c r="H17" s="55"/>
      <c r="I17" s="55"/>
      <c r="J17" s="55"/>
      <c r="K17" s="55"/>
    </row>
    <row r="18" spans="1:11">
      <c r="A18" s="55"/>
      <c r="B18" s="55"/>
      <c r="C18" s="55"/>
      <c r="D18" s="55"/>
      <c r="E18" s="55"/>
      <c r="F18" s="55"/>
      <c r="G18" s="55"/>
      <c r="H18" s="55"/>
      <c r="I18" s="55"/>
      <c r="J18" s="55"/>
      <c r="K18" s="55"/>
    </row>
    <row r="19" spans="1:11">
      <c r="A19" s="55"/>
      <c r="B19" s="55"/>
      <c r="C19" s="55"/>
      <c r="D19" s="55"/>
      <c r="E19" s="55"/>
      <c r="F19" s="55"/>
      <c r="G19" s="55"/>
      <c r="H19" s="55"/>
      <c r="I19" s="55"/>
      <c r="J19" s="55"/>
      <c r="K19" s="55"/>
    </row>
    <row r="20" spans="1:11">
      <c r="A20" s="55"/>
      <c r="B20" s="55"/>
      <c r="C20" s="55"/>
      <c r="D20" s="55"/>
      <c r="E20" s="55"/>
      <c r="F20" s="55"/>
      <c r="G20" s="55"/>
      <c r="H20" s="55"/>
      <c r="I20" s="55"/>
      <c r="J20" s="55"/>
      <c r="K20" s="55"/>
    </row>
    <row r="22" spans="1:11">
      <c r="B22" s="54" t="s">
        <v>16</v>
      </c>
      <c r="C22" s="54"/>
      <c r="D22" s="54"/>
      <c r="E22" s="54"/>
      <c r="F22" s="54"/>
      <c r="G22" s="54"/>
      <c r="H22" s="54"/>
      <c r="I22" s="54"/>
      <c r="J22" s="54"/>
    </row>
    <row r="23" spans="1:11">
      <c r="A23" s="55" t="s">
        <v>17</v>
      </c>
      <c r="B23" s="55"/>
      <c r="C23" s="55"/>
      <c r="D23" s="55"/>
      <c r="E23" s="55"/>
      <c r="F23" s="55"/>
      <c r="G23" s="55"/>
      <c r="H23" s="55"/>
      <c r="I23" s="55"/>
      <c r="J23" s="55"/>
      <c r="K23" s="55"/>
    </row>
    <row r="24" spans="1:11">
      <c r="A24" s="55"/>
      <c r="B24" s="55"/>
      <c r="C24" s="55"/>
      <c r="D24" s="55"/>
      <c r="E24" s="55"/>
      <c r="F24" s="55"/>
      <c r="G24" s="55"/>
      <c r="H24" s="55"/>
      <c r="I24" s="55"/>
      <c r="J24" s="55"/>
      <c r="K24" s="55"/>
    </row>
    <row r="25" spans="1:11">
      <c r="A25" s="55"/>
      <c r="B25" s="55"/>
      <c r="C25" s="55"/>
      <c r="D25" s="55"/>
      <c r="E25" s="55"/>
      <c r="F25" s="55"/>
      <c r="G25" s="55"/>
      <c r="H25" s="55"/>
      <c r="I25" s="55"/>
      <c r="J25" s="55"/>
      <c r="K25" s="55"/>
    </row>
    <row r="26" spans="1:11">
      <c r="A26" s="55"/>
      <c r="B26" s="55"/>
      <c r="C26" s="55"/>
      <c r="D26" s="55"/>
      <c r="E26" s="55"/>
      <c r="F26" s="55"/>
      <c r="G26" s="55"/>
      <c r="H26" s="55"/>
      <c r="I26" s="55"/>
      <c r="J26" s="55"/>
      <c r="K26" s="55"/>
    </row>
    <row r="27" spans="1:11">
      <c r="A27" s="55"/>
      <c r="B27" s="55"/>
      <c r="C27" s="55"/>
      <c r="D27" s="55"/>
      <c r="E27" s="55"/>
      <c r="F27" s="55"/>
      <c r="G27" s="55"/>
      <c r="H27" s="55"/>
      <c r="I27" s="55"/>
      <c r="J27" s="55"/>
      <c r="K27" s="55"/>
    </row>
    <row r="28" spans="1:11">
      <c r="A28" s="55"/>
      <c r="B28" s="55"/>
      <c r="C28" s="55"/>
      <c r="D28" s="55"/>
      <c r="E28" s="55"/>
      <c r="F28" s="55"/>
      <c r="G28" s="55"/>
      <c r="H28" s="55"/>
      <c r="I28" s="55"/>
      <c r="J28" s="55"/>
      <c r="K28" s="55"/>
    </row>
    <row r="29" spans="1:11">
      <c r="A29" s="55"/>
      <c r="B29" s="55"/>
      <c r="C29" s="55"/>
      <c r="D29" s="55"/>
      <c r="E29" s="55"/>
      <c r="F29" s="55"/>
      <c r="G29" s="55"/>
      <c r="H29" s="55"/>
      <c r="I29" s="55"/>
      <c r="J29" s="55"/>
      <c r="K29" s="55"/>
    </row>
    <row r="30" spans="1:11">
      <c r="A30" s="55"/>
      <c r="B30" s="55"/>
      <c r="C30" s="55"/>
      <c r="D30" s="55"/>
      <c r="E30" s="55"/>
      <c r="F30" s="55"/>
      <c r="G30" s="55"/>
      <c r="H30" s="55"/>
      <c r="I30" s="55"/>
      <c r="J30" s="55"/>
      <c r="K30" s="55"/>
    </row>
    <row r="32" spans="1:11">
      <c r="B32" s="54" t="s">
        <v>18</v>
      </c>
      <c r="C32" s="54"/>
      <c r="D32" s="54"/>
      <c r="E32" s="54"/>
      <c r="F32" s="54"/>
      <c r="G32" s="54"/>
      <c r="H32" s="54"/>
      <c r="I32" s="54"/>
      <c r="J32" s="54"/>
    </row>
    <row r="33" spans="1:11">
      <c r="A33" s="55" t="s">
        <v>19</v>
      </c>
      <c r="B33" s="55"/>
      <c r="C33" s="55"/>
      <c r="D33" s="55"/>
      <c r="E33" s="55"/>
      <c r="F33" s="55"/>
      <c r="G33" s="55"/>
      <c r="H33" s="55"/>
      <c r="I33" s="55"/>
      <c r="J33" s="55"/>
      <c r="K33" s="55"/>
    </row>
    <row r="34" spans="1:11">
      <c r="A34" s="55"/>
      <c r="B34" s="55"/>
      <c r="C34" s="55"/>
      <c r="D34" s="55"/>
      <c r="E34" s="55"/>
      <c r="F34" s="55"/>
      <c r="G34" s="55"/>
      <c r="H34" s="55"/>
      <c r="I34" s="55"/>
      <c r="J34" s="55"/>
      <c r="K34" s="55"/>
    </row>
    <row r="35" spans="1:11">
      <c r="A35" s="55"/>
      <c r="B35" s="55"/>
      <c r="C35" s="55"/>
      <c r="D35" s="55"/>
      <c r="E35" s="55"/>
      <c r="F35" s="55"/>
      <c r="G35" s="55"/>
      <c r="H35" s="55"/>
      <c r="I35" s="55"/>
      <c r="J35" s="55"/>
      <c r="K35" s="55"/>
    </row>
    <row r="36" spans="1:11">
      <c r="A36" s="55"/>
      <c r="B36" s="55"/>
      <c r="C36" s="55"/>
      <c r="D36" s="55"/>
      <c r="E36" s="55"/>
      <c r="F36" s="55"/>
      <c r="G36" s="55"/>
      <c r="H36" s="55"/>
      <c r="I36" s="55"/>
      <c r="J36" s="55"/>
      <c r="K36" s="55"/>
    </row>
    <row r="37" spans="1:11">
      <c r="A37" s="55"/>
      <c r="B37" s="55"/>
      <c r="C37" s="55"/>
      <c r="D37" s="55"/>
      <c r="E37" s="55"/>
      <c r="F37" s="55"/>
      <c r="G37" s="55"/>
      <c r="H37" s="55"/>
      <c r="I37" s="55"/>
      <c r="J37" s="55"/>
      <c r="K37" s="55"/>
    </row>
    <row r="38" spans="1:11">
      <c r="A38" s="55"/>
      <c r="B38" s="55"/>
      <c r="C38" s="55"/>
      <c r="D38" s="55"/>
      <c r="E38" s="55"/>
      <c r="F38" s="55"/>
      <c r="G38" s="55"/>
      <c r="H38" s="55"/>
      <c r="I38" s="55"/>
      <c r="J38" s="55"/>
      <c r="K38" s="55"/>
    </row>
    <row r="39" spans="1:11">
      <c r="A39" s="55"/>
      <c r="B39" s="55"/>
      <c r="C39" s="55"/>
      <c r="D39" s="55"/>
      <c r="E39" s="55"/>
      <c r="F39" s="55"/>
      <c r="G39" s="55"/>
      <c r="H39" s="55"/>
      <c r="I39" s="55"/>
      <c r="J39" s="55"/>
      <c r="K39" s="55"/>
    </row>
    <row r="40" spans="1:11">
      <c r="A40" s="55"/>
      <c r="B40" s="55"/>
      <c r="C40" s="55"/>
      <c r="D40" s="55"/>
      <c r="E40" s="55"/>
      <c r="F40" s="55"/>
      <c r="G40" s="55"/>
      <c r="H40" s="55"/>
      <c r="I40" s="55"/>
      <c r="J40" s="55"/>
      <c r="K40" s="55"/>
    </row>
    <row r="42" spans="1:11">
      <c r="B42" s="54" t="s">
        <v>20</v>
      </c>
      <c r="C42" s="54"/>
      <c r="D42" s="54"/>
      <c r="E42" s="54"/>
      <c r="F42" s="54"/>
      <c r="G42" s="54"/>
      <c r="H42" s="54"/>
      <c r="I42" s="54"/>
      <c r="J42" s="54"/>
    </row>
    <row r="43" spans="1:11">
      <c r="A43" s="55" t="s">
        <v>21</v>
      </c>
      <c r="B43" s="55"/>
      <c r="C43" s="55"/>
      <c r="D43" s="55"/>
      <c r="E43" s="55"/>
      <c r="F43" s="55"/>
      <c r="G43" s="55"/>
      <c r="H43" s="55"/>
      <c r="I43" s="55"/>
      <c r="J43" s="55"/>
      <c r="K43" s="55"/>
    </row>
    <row r="44" spans="1:11">
      <c r="A44" s="55"/>
      <c r="B44" s="55"/>
      <c r="C44" s="55"/>
      <c r="D44" s="55"/>
      <c r="E44" s="55"/>
      <c r="F44" s="55"/>
      <c r="G44" s="55"/>
      <c r="H44" s="55"/>
      <c r="I44" s="55"/>
      <c r="J44" s="55"/>
      <c r="K44" s="55"/>
    </row>
    <row r="45" spans="1:11">
      <c r="A45" s="55"/>
      <c r="B45" s="55"/>
      <c r="C45" s="55"/>
      <c r="D45" s="55"/>
      <c r="E45" s="55"/>
      <c r="F45" s="55"/>
      <c r="G45" s="55"/>
      <c r="H45" s="55"/>
      <c r="I45" s="55"/>
      <c r="J45" s="55"/>
      <c r="K45" s="55"/>
    </row>
    <row r="46" spans="1:11">
      <c r="A46" s="55"/>
      <c r="B46" s="55"/>
      <c r="C46" s="55"/>
      <c r="D46" s="55"/>
      <c r="E46" s="55"/>
      <c r="F46" s="55"/>
      <c r="G46" s="55"/>
      <c r="H46" s="55"/>
      <c r="I46" s="55"/>
      <c r="J46" s="55"/>
      <c r="K46" s="55"/>
    </row>
    <row r="47" spans="1:11">
      <c r="A47" s="55"/>
      <c r="B47" s="55"/>
      <c r="C47" s="55"/>
      <c r="D47" s="55"/>
      <c r="E47" s="55"/>
      <c r="F47" s="55"/>
      <c r="G47" s="55"/>
      <c r="H47" s="55"/>
      <c r="I47" s="55"/>
      <c r="J47" s="55"/>
      <c r="K47" s="55"/>
    </row>
    <row r="48" spans="1:11">
      <c r="A48" s="55"/>
      <c r="B48" s="55"/>
      <c r="C48" s="55"/>
      <c r="D48" s="55"/>
      <c r="E48" s="55"/>
      <c r="F48" s="55"/>
      <c r="G48" s="55"/>
      <c r="H48" s="55"/>
      <c r="I48" s="55"/>
      <c r="J48" s="55"/>
      <c r="K48" s="55"/>
    </row>
    <row r="49" spans="1:11">
      <c r="A49" s="55"/>
      <c r="B49" s="55"/>
      <c r="C49" s="55"/>
      <c r="D49" s="55"/>
      <c r="E49" s="55"/>
      <c r="F49" s="55"/>
      <c r="G49" s="55"/>
      <c r="H49" s="55"/>
      <c r="I49" s="55"/>
      <c r="J49" s="55"/>
      <c r="K49" s="55"/>
    </row>
    <row r="50" spans="1:11">
      <c r="A50" s="55"/>
      <c r="B50" s="55"/>
      <c r="C50" s="55"/>
      <c r="D50" s="55"/>
      <c r="E50" s="55"/>
      <c r="F50" s="55"/>
      <c r="G50" s="55"/>
      <c r="H50" s="55"/>
      <c r="I50" s="55"/>
      <c r="J50" s="55"/>
      <c r="K50" s="55"/>
    </row>
    <row r="52" spans="1:11">
      <c r="B52" s="54" t="s">
        <v>22</v>
      </c>
      <c r="C52" s="54"/>
      <c r="D52" s="54"/>
      <c r="E52" s="54"/>
      <c r="F52" s="54"/>
      <c r="G52" s="54"/>
      <c r="H52" s="54"/>
      <c r="I52" s="54"/>
      <c r="J52" s="54"/>
    </row>
    <row r="53" spans="1:11">
      <c r="A53" s="55" t="s">
        <v>23</v>
      </c>
      <c r="B53" s="55"/>
      <c r="C53" s="55"/>
      <c r="D53" s="55"/>
      <c r="E53" s="55"/>
      <c r="F53" s="55"/>
      <c r="G53" s="55"/>
      <c r="H53" s="55"/>
      <c r="I53" s="55"/>
      <c r="J53" s="55"/>
      <c r="K53" s="55"/>
    </row>
    <row r="54" spans="1:11">
      <c r="A54" s="55"/>
      <c r="B54" s="55"/>
      <c r="C54" s="55"/>
      <c r="D54" s="55"/>
      <c r="E54" s="55"/>
      <c r="F54" s="55"/>
      <c r="G54" s="55"/>
      <c r="H54" s="55"/>
      <c r="I54" s="55"/>
      <c r="J54" s="55"/>
      <c r="K54" s="55"/>
    </row>
    <row r="55" spans="1:11">
      <c r="A55" s="55"/>
      <c r="B55" s="55"/>
      <c r="C55" s="55"/>
      <c r="D55" s="55"/>
      <c r="E55" s="55"/>
      <c r="F55" s="55"/>
      <c r="G55" s="55"/>
      <c r="H55" s="55"/>
      <c r="I55" s="55"/>
      <c r="J55" s="55"/>
      <c r="K55" s="55"/>
    </row>
    <row r="56" spans="1:11">
      <c r="A56" s="55"/>
      <c r="B56" s="55"/>
      <c r="C56" s="55"/>
      <c r="D56" s="55"/>
      <c r="E56" s="55"/>
      <c r="F56" s="55"/>
      <c r="G56" s="55"/>
      <c r="H56" s="55"/>
      <c r="I56" s="55"/>
      <c r="J56" s="55"/>
      <c r="K56" s="55"/>
    </row>
    <row r="57" spans="1:11">
      <c r="A57" s="55"/>
      <c r="B57" s="55"/>
      <c r="C57" s="55"/>
      <c r="D57" s="55"/>
      <c r="E57" s="55"/>
      <c r="F57" s="55"/>
      <c r="G57" s="55"/>
      <c r="H57" s="55"/>
      <c r="I57" s="55"/>
      <c r="J57" s="55"/>
      <c r="K57" s="55"/>
    </row>
    <row r="58" spans="1:11">
      <c r="A58" s="55"/>
      <c r="B58" s="55"/>
      <c r="C58" s="55"/>
      <c r="D58" s="55"/>
      <c r="E58" s="55"/>
      <c r="F58" s="55"/>
      <c r="G58" s="55"/>
      <c r="H58" s="55"/>
      <c r="I58" s="55"/>
      <c r="J58" s="55"/>
      <c r="K58" s="55"/>
    </row>
    <row r="59" spans="1:11">
      <c r="A59" s="55"/>
      <c r="B59" s="55"/>
      <c r="C59" s="55"/>
      <c r="D59" s="55"/>
      <c r="E59" s="55"/>
      <c r="F59" s="55"/>
      <c r="G59" s="55"/>
      <c r="H59" s="55"/>
      <c r="I59" s="55"/>
      <c r="J59" s="55"/>
      <c r="K59" s="55"/>
    </row>
    <row r="60" spans="1:11">
      <c r="A60" s="55"/>
      <c r="B60" s="55"/>
      <c r="C60" s="55"/>
      <c r="D60" s="55"/>
      <c r="E60" s="55"/>
      <c r="F60" s="55"/>
      <c r="G60" s="55"/>
      <c r="H60" s="55"/>
      <c r="I60" s="55"/>
      <c r="J60" s="55"/>
      <c r="K60" s="55"/>
    </row>
  </sheetData>
  <mergeCells count="12">
    <mergeCell ref="B2:J2"/>
    <mergeCell ref="A3:K10"/>
    <mergeCell ref="B12:J12"/>
    <mergeCell ref="A13:K20"/>
    <mergeCell ref="B22:J22"/>
    <mergeCell ref="B52:J52"/>
    <mergeCell ref="A53:K60"/>
    <mergeCell ref="A23:K30"/>
    <mergeCell ref="B32:J32"/>
    <mergeCell ref="A33:K40"/>
    <mergeCell ref="B42:J42"/>
    <mergeCell ref="A43:K50"/>
  </mergeCells>
  <pageMargins left="0.25" right="0.25"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8"/>
  <sheetViews>
    <sheetView topLeftCell="A8" workbookViewId="0">
      <selection sqref="A1:K1"/>
    </sheetView>
  </sheetViews>
  <sheetFormatPr defaultRowHeight="14.45"/>
  <cols>
    <col min="7" max="7" width="9.140625" style="1"/>
  </cols>
  <sheetData>
    <row r="1" spans="1:11">
      <c r="A1" s="50" t="s">
        <v>24</v>
      </c>
      <c r="B1" s="50"/>
      <c r="C1" s="50"/>
      <c r="D1" s="50"/>
      <c r="E1" s="50"/>
      <c r="F1" s="50"/>
      <c r="G1" s="50"/>
      <c r="H1" s="50"/>
      <c r="I1" s="50"/>
      <c r="J1" s="50"/>
      <c r="K1" s="50"/>
    </row>
    <row r="2" spans="1:11">
      <c r="B2" s="9"/>
      <c r="C2" s="9"/>
      <c r="D2" s="9"/>
      <c r="E2" s="9"/>
      <c r="F2" s="9"/>
      <c r="G2" s="9"/>
      <c r="H2" s="9"/>
      <c r="I2" s="9"/>
      <c r="J2" s="9"/>
    </row>
    <row r="3" spans="1:11">
      <c r="E3" s="56" t="s">
        <v>25</v>
      </c>
      <c r="F3" s="56"/>
      <c r="G3" s="18" t="s">
        <v>26</v>
      </c>
    </row>
    <row r="4" spans="1:11" ht="31.5" customHeight="1">
      <c r="B4" s="56" t="s">
        <v>27</v>
      </c>
      <c r="C4" s="56"/>
      <c r="D4" s="56"/>
      <c r="E4" s="60">
        <v>1.81</v>
      </c>
      <c r="F4" s="61"/>
      <c r="G4" s="14" t="s">
        <v>28</v>
      </c>
    </row>
    <row r="5" spans="1:11" ht="31.5" customHeight="1">
      <c r="B5" s="58" t="s">
        <v>29</v>
      </c>
      <c r="C5" s="58"/>
      <c r="D5" s="58"/>
      <c r="E5" s="62">
        <v>0.13200000000000001</v>
      </c>
      <c r="F5" s="62"/>
      <c r="G5" s="6" t="s">
        <v>28</v>
      </c>
    </row>
    <row r="6" spans="1:11" ht="31.5" customHeight="1">
      <c r="B6" s="16"/>
      <c r="C6" s="16"/>
      <c r="D6" s="16"/>
      <c r="E6" s="1"/>
      <c r="F6" s="1"/>
    </row>
    <row r="7" spans="1:11" ht="15" customHeight="1">
      <c r="E7" s="56" t="s">
        <v>25</v>
      </c>
      <c r="F7" s="56"/>
      <c r="G7" s="18" t="s">
        <v>26</v>
      </c>
    </row>
    <row r="8" spans="1:11" ht="31.5" customHeight="1">
      <c r="B8" s="56" t="s">
        <v>30</v>
      </c>
      <c r="C8" s="56"/>
      <c r="D8" s="56"/>
      <c r="E8" s="63">
        <v>78.400000000000006</v>
      </c>
      <c r="F8" s="64"/>
      <c r="G8" s="4" t="s">
        <v>31</v>
      </c>
    </row>
    <row r="9" spans="1:11" ht="31.5" customHeight="1">
      <c r="B9" s="59" t="s">
        <v>32</v>
      </c>
      <c r="C9" s="59"/>
      <c r="D9" s="59"/>
      <c r="E9" s="65">
        <v>0.05</v>
      </c>
      <c r="F9" s="66"/>
      <c r="G9" s="3" t="s">
        <v>31</v>
      </c>
    </row>
    <row r="10" spans="1:11">
      <c r="B10" s="57" t="s">
        <v>33</v>
      </c>
      <c r="C10" s="57"/>
      <c r="D10" s="57"/>
      <c r="E10" s="57"/>
      <c r="F10" s="57"/>
      <c r="G10" s="57"/>
      <c r="H10" s="57"/>
      <c r="I10" s="57"/>
      <c r="J10" s="57"/>
    </row>
    <row r="15" spans="1:11">
      <c r="B15" t="s">
        <v>34</v>
      </c>
    </row>
    <row r="16" spans="1:11">
      <c r="B16" t="s">
        <v>35</v>
      </c>
      <c r="E16">
        <v>9.4480000000000004</v>
      </c>
      <c r="G16" s="1" t="s">
        <v>36</v>
      </c>
    </row>
    <row r="17" spans="2:7">
      <c r="B17" t="s">
        <v>37</v>
      </c>
      <c r="E17">
        <v>1.375</v>
      </c>
      <c r="G17" s="1" t="s">
        <v>36</v>
      </c>
    </row>
    <row r="18" spans="2:7">
      <c r="B18" t="s">
        <v>38</v>
      </c>
      <c r="E18" s="37">
        <v>0.14549999999999999</v>
      </c>
    </row>
  </sheetData>
  <mergeCells count="12">
    <mergeCell ref="E3:F3"/>
    <mergeCell ref="E7:F7"/>
    <mergeCell ref="A1:K1"/>
    <mergeCell ref="B10:J10"/>
    <mergeCell ref="B4:D4"/>
    <mergeCell ref="B5:D5"/>
    <mergeCell ref="B8:D8"/>
    <mergeCell ref="B9:D9"/>
    <mergeCell ref="E4:F4"/>
    <mergeCell ref="E5:F5"/>
    <mergeCell ref="E8:F8"/>
    <mergeCell ref="E9:F9"/>
  </mergeCells>
  <pageMargins left="0.25" right="0.25"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9"/>
  <sheetViews>
    <sheetView topLeftCell="A3" workbookViewId="0">
      <selection activeCell="E22" sqref="E22"/>
    </sheetView>
  </sheetViews>
  <sheetFormatPr defaultColWidth="9.140625" defaultRowHeight="14.25" customHeight="1"/>
  <cols>
    <col min="1" max="1" width="6.5703125" style="7" customWidth="1"/>
    <col min="2" max="2" width="9.140625" style="7"/>
    <col min="3" max="6" width="18.42578125" style="8" customWidth="1"/>
    <col min="7" max="9" width="9.140625" style="8"/>
    <col min="10" max="16384" width="9.140625" style="7"/>
  </cols>
  <sheetData>
    <row r="1" spans="1:11" ht="14.25" customHeight="1">
      <c r="A1" s="67" t="s">
        <v>39</v>
      </c>
      <c r="B1" s="67"/>
      <c r="C1" s="67"/>
      <c r="D1" s="67"/>
      <c r="E1" s="67"/>
      <c r="F1" s="67"/>
      <c r="G1" s="67"/>
      <c r="H1" s="22"/>
      <c r="I1" s="22"/>
      <c r="J1" s="21"/>
      <c r="K1" s="21"/>
    </row>
    <row r="4" spans="1:11" s="21" customFormat="1" ht="44.25" customHeight="1">
      <c r="C4" s="15" t="s">
        <v>40</v>
      </c>
      <c r="D4" s="15" t="s">
        <v>41</v>
      </c>
      <c r="E4" s="15" t="s">
        <v>42</v>
      </c>
      <c r="F4" s="15" t="s">
        <v>43</v>
      </c>
      <c r="G4" s="22"/>
      <c r="H4" s="22"/>
      <c r="I4" s="22"/>
    </row>
    <row r="5" spans="1:11" s="22" customFormat="1" ht="16.5" customHeight="1">
      <c r="C5" s="15" t="s">
        <v>44</v>
      </c>
      <c r="D5" s="15" t="s">
        <v>44</v>
      </c>
      <c r="E5" s="15" t="s">
        <v>44</v>
      </c>
      <c r="F5" s="15" t="s">
        <v>44</v>
      </c>
    </row>
    <row r="6" spans="1:11" ht="28.5" customHeight="1">
      <c r="C6" s="23">
        <v>17.809999999999999</v>
      </c>
      <c r="D6" s="23">
        <v>0.13200000000000001</v>
      </c>
      <c r="E6" s="23">
        <v>1.7809999999999999</v>
      </c>
      <c r="F6" s="23">
        <v>1.332E-2</v>
      </c>
    </row>
    <row r="12" spans="1:11" ht="14.25" customHeight="1">
      <c r="C12" s="8" t="s">
        <v>45</v>
      </c>
    </row>
    <row r="13" spans="1:11" ht="14.25" customHeight="1">
      <c r="C13" s="8" t="s">
        <v>46</v>
      </c>
      <c r="D13" s="8">
        <v>0.78400000000000003</v>
      </c>
      <c r="E13" s="8" t="s">
        <v>47</v>
      </c>
    </row>
    <row r="14" spans="1:11" ht="14.25" customHeight="1">
      <c r="C14" s="8" t="s">
        <v>48</v>
      </c>
      <c r="D14" s="8">
        <v>1E-3</v>
      </c>
      <c r="E14" s="8" t="s">
        <v>47</v>
      </c>
    </row>
    <row r="15" spans="1:11" ht="14.25" customHeight="1">
      <c r="C15" s="8" t="s">
        <v>49</v>
      </c>
      <c r="D15" s="8">
        <v>1.7809999999999999</v>
      </c>
      <c r="E15" s="8" t="s">
        <v>28</v>
      </c>
    </row>
    <row r="16" spans="1:11" ht="14.25" customHeight="1">
      <c r="C16" s="8" t="s">
        <v>50</v>
      </c>
      <c r="D16" s="8">
        <v>1.32E-2</v>
      </c>
      <c r="E16" s="8" t="s">
        <v>28</v>
      </c>
    </row>
    <row r="17" spans="3:5" ht="14.25" customHeight="1">
      <c r="C17" s="8" t="s">
        <v>51</v>
      </c>
      <c r="D17" s="8">
        <v>9.7579999999999991</v>
      </c>
      <c r="E17" s="8" t="s">
        <v>36</v>
      </c>
    </row>
    <row r="18" spans="3:5" ht="14.25" customHeight="1">
      <c r="C18" s="8" t="s">
        <v>52</v>
      </c>
      <c r="D18" s="8">
        <v>0.14399999999999999</v>
      </c>
      <c r="E18" s="8" t="s">
        <v>36</v>
      </c>
    </row>
    <row r="19" spans="3:5" ht="14.25" customHeight="1">
      <c r="C19" s="8" t="s">
        <v>53</v>
      </c>
      <c r="D19" s="38">
        <v>1.4800000000000001E-2</v>
      </c>
    </row>
  </sheetData>
  <mergeCells count="1">
    <mergeCell ref="A1:G1"/>
  </mergeCells>
  <pageMargins left="0.25" right="0.25"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
  <sheetViews>
    <sheetView topLeftCell="A23" workbookViewId="0">
      <selection activeCell="B15" sqref="B15:E18"/>
    </sheetView>
  </sheetViews>
  <sheetFormatPr defaultRowHeight="14.45"/>
  <cols>
    <col min="2" max="5" width="11.140625" customWidth="1"/>
  </cols>
  <sheetData>
    <row r="1" spans="1:8">
      <c r="A1" s="13"/>
      <c r="B1" s="50" t="s">
        <v>54</v>
      </c>
      <c r="C1" s="50"/>
      <c r="D1" s="50"/>
      <c r="E1" s="50"/>
      <c r="F1" s="50"/>
      <c r="G1" s="50"/>
      <c r="H1" s="50"/>
    </row>
    <row r="3" spans="1:8" ht="17.45">
      <c r="B3" s="8"/>
      <c r="C3" s="19" t="s">
        <v>55</v>
      </c>
      <c r="D3" s="19" t="s">
        <v>56</v>
      </c>
      <c r="E3" s="19" t="s">
        <v>57</v>
      </c>
    </row>
    <row r="4" spans="1:8" ht="16.5">
      <c r="B4" s="8"/>
      <c r="C4" s="20" t="s">
        <v>44</v>
      </c>
      <c r="D4" s="20" t="s">
        <v>44</v>
      </c>
      <c r="E4" s="20" t="s">
        <v>58</v>
      </c>
    </row>
    <row r="5" spans="1:8" ht="16.5" customHeight="1">
      <c r="B5" s="15">
        <v>1</v>
      </c>
      <c r="C5" s="6">
        <v>1.71</v>
      </c>
      <c r="D5" s="6">
        <f>(C5-C15)</f>
        <v>2.6000000000000023E-2</v>
      </c>
      <c r="E5" s="6">
        <f>POWER(D5,2)</f>
        <v>6.7600000000000125E-4</v>
      </c>
    </row>
    <row r="6" spans="1:8" ht="16.5" customHeight="1">
      <c r="B6" s="15">
        <v>2</v>
      </c>
      <c r="C6" s="6">
        <v>1.78</v>
      </c>
      <c r="D6" s="6">
        <f>(C6-C15)</f>
        <v>9.6000000000000085E-2</v>
      </c>
      <c r="E6" s="6">
        <f t="shared" ref="E6:E14" si="0">POWER(D6,2)</f>
        <v>9.2160000000000158E-3</v>
      </c>
    </row>
    <row r="7" spans="1:8" ht="16.5" customHeight="1">
      <c r="B7" s="15">
        <v>3</v>
      </c>
      <c r="C7" s="6">
        <v>1.75</v>
      </c>
      <c r="D7" s="6">
        <f>(C7-C15)</f>
        <v>6.6000000000000059E-2</v>
      </c>
      <c r="E7" s="6">
        <f t="shared" si="0"/>
        <v>4.3560000000000074E-3</v>
      </c>
    </row>
    <row r="8" spans="1:8" ht="16.5" customHeight="1">
      <c r="B8" s="15">
        <v>4</v>
      </c>
      <c r="C8" s="6">
        <v>1.72</v>
      </c>
      <c r="D8" s="6">
        <f>(C8-C15)</f>
        <v>3.6000000000000032E-2</v>
      </c>
      <c r="E8" s="6">
        <f t="shared" si="0"/>
        <v>1.2960000000000022E-3</v>
      </c>
    </row>
    <row r="9" spans="1:8" ht="16.5" customHeight="1">
      <c r="B9" s="15">
        <v>5</v>
      </c>
      <c r="C9" s="6">
        <v>1.65</v>
      </c>
      <c r="D9" s="6">
        <f>(C9-C15)</f>
        <v>-3.400000000000003E-2</v>
      </c>
      <c r="E9" s="6">
        <f t="shared" si="0"/>
        <v>1.1560000000000021E-3</v>
      </c>
    </row>
    <row r="10" spans="1:8" ht="16.5" customHeight="1">
      <c r="B10" s="15">
        <v>6</v>
      </c>
      <c r="C10" s="6">
        <v>1.66</v>
      </c>
      <c r="D10" s="6">
        <f>(C10-C15)</f>
        <v>-2.4000000000000021E-2</v>
      </c>
      <c r="E10" s="6">
        <f t="shared" si="0"/>
        <v>5.7600000000000099E-4</v>
      </c>
    </row>
    <row r="11" spans="1:8" ht="16.5" customHeight="1">
      <c r="B11" s="15">
        <v>7</v>
      </c>
      <c r="C11" s="6">
        <v>1.59</v>
      </c>
      <c r="D11" s="6">
        <f>(C11-C15)</f>
        <v>-9.3999999999999861E-2</v>
      </c>
      <c r="E11" s="6">
        <f t="shared" si="0"/>
        <v>8.8359999999999741E-3</v>
      </c>
    </row>
    <row r="12" spans="1:8" ht="16.5" customHeight="1">
      <c r="B12" s="15">
        <v>8</v>
      </c>
      <c r="C12" s="6">
        <v>1.59</v>
      </c>
      <c r="D12" s="6">
        <f>(C12-C15)</f>
        <v>-9.3999999999999861E-2</v>
      </c>
      <c r="E12" s="6">
        <f t="shared" si="0"/>
        <v>8.8359999999999741E-3</v>
      </c>
    </row>
    <row r="13" spans="1:8" ht="16.5" customHeight="1">
      <c r="B13" s="15">
        <v>9</v>
      </c>
      <c r="C13" s="6">
        <v>1.66</v>
      </c>
      <c r="D13" s="6">
        <f>(C13-C15)</f>
        <v>-2.4000000000000021E-2</v>
      </c>
      <c r="E13" s="6">
        <f t="shared" si="0"/>
        <v>5.7600000000000099E-4</v>
      </c>
    </row>
    <row r="14" spans="1:8" ht="16.5" customHeight="1">
      <c r="B14" s="15">
        <v>10</v>
      </c>
      <c r="C14" s="6">
        <v>1.73</v>
      </c>
      <c r="D14" s="6">
        <f>(C14-C15)</f>
        <v>4.6000000000000041E-2</v>
      </c>
      <c r="E14" s="6">
        <f t="shared" si="0"/>
        <v>2.1160000000000037E-3</v>
      </c>
    </row>
    <row r="15" spans="1:8" ht="35.25" customHeight="1">
      <c r="B15" s="15" t="s">
        <v>59</v>
      </c>
      <c r="C15" s="24">
        <f>AVERAGE(C5:C14)</f>
        <v>1.6839999999999999</v>
      </c>
      <c r="D15" s="26" t="s">
        <v>60</v>
      </c>
      <c r="E15" s="2">
        <f>SUM(E5:E14)</f>
        <v>3.7639999999999986E-2</v>
      </c>
    </row>
    <row r="16" spans="1:8" ht="35.25" customHeight="1">
      <c r="D16" s="15" t="s">
        <v>61</v>
      </c>
      <c r="E16" s="2">
        <f>_xlfn.STDEV.S(C5:C14)</f>
        <v>6.467010300148146E-2</v>
      </c>
    </row>
    <row r="17" spans="2:5" ht="35.25" customHeight="1">
      <c r="B17" s="7"/>
      <c r="D17" s="15" t="s">
        <v>62</v>
      </c>
      <c r="E17" s="2">
        <f>(E16 / SQRT(10))</f>
        <v>2.0450482200237288E-2</v>
      </c>
    </row>
    <row r="18" spans="2:5" ht="29.1">
      <c r="D18" s="15" t="s">
        <v>63</v>
      </c>
      <c r="E18" s="2">
        <f>SQRT(POWER(E17,2) + POWER(0.132,2))</f>
        <v>0.13357478138564263</v>
      </c>
    </row>
    <row r="23" spans="2:5" ht="57.95">
      <c r="B23" s="8" t="s">
        <v>64</v>
      </c>
      <c r="C23" s="8"/>
      <c r="D23" s="8"/>
    </row>
    <row r="24" spans="2:5">
      <c r="B24" s="8" t="s">
        <v>46</v>
      </c>
      <c r="C24" s="8">
        <v>0.78400000000000003</v>
      </c>
      <c r="D24" s="8" t="s">
        <v>47</v>
      </c>
    </row>
    <row r="25" spans="2:5">
      <c r="B25" s="8" t="s">
        <v>48</v>
      </c>
      <c r="C25" s="8">
        <v>1E-3</v>
      </c>
      <c r="D25" s="8" t="s">
        <v>47</v>
      </c>
    </row>
    <row r="26" spans="2:5" ht="29.1">
      <c r="B26" s="8" t="s">
        <v>65</v>
      </c>
      <c r="C26" s="8">
        <v>1.6839999999999999</v>
      </c>
      <c r="D26" s="8" t="s">
        <v>28</v>
      </c>
    </row>
    <row r="27" spans="2:5">
      <c r="B27" s="8" t="s">
        <v>66</v>
      </c>
      <c r="C27" s="8">
        <v>0.13300000000000001</v>
      </c>
      <c r="D27" s="8" t="s">
        <v>28</v>
      </c>
    </row>
    <row r="28" spans="2:5">
      <c r="B28" s="8" t="s">
        <v>67</v>
      </c>
      <c r="C28" s="8">
        <v>10.914</v>
      </c>
      <c r="D28" s="8" t="s">
        <v>36</v>
      </c>
    </row>
    <row r="29" spans="2:5">
      <c r="B29" s="8" t="s">
        <v>68</v>
      </c>
      <c r="C29" s="8">
        <v>1.7270000000000001</v>
      </c>
      <c r="D29" s="8" t="s">
        <v>36</v>
      </c>
    </row>
    <row r="30" spans="2:5" ht="29.1">
      <c r="B30" s="8" t="s">
        <v>53</v>
      </c>
      <c r="C30" s="38">
        <v>0.15820000000000001</v>
      </c>
      <c r="D30" s="8"/>
    </row>
  </sheetData>
  <mergeCells count="1">
    <mergeCell ref="B1:H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9"/>
  <sheetViews>
    <sheetView topLeftCell="A16" workbookViewId="0">
      <selection activeCell="M6" sqref="M6"/>
    </sheetView>
  </sheetViews>
  <sheetFormatPr defaultRowHeight="14.45"/>
  <sheetData>
    <row r="1" spans="1:11">
      <c r="A1" s="68" t="s">
        <v>69</v>
      </c>
      <c r="B1" s="68"/>
      <c r="C1" s="68"/>
      <c r="D1" s="68"/>
      <c r="E1" s="68"/>
      <c r="F1" s="68"/>
      <c r="G1" s="68"/>
      <c r="H1" s="68"/>
      <c r="I1" s="68"/>
      <c r="J1" s="68"/>
      <c r="K1" s="68"/>
    </row>
    <row r="3" spans="1:11" ht="22.5" customHeight="1">
      <c r="D3" s="29" t="s">
        <v>46</v>
      </c>
      <c r="E3" s="29" t="s">
        <v>48</v>
      </c>
      <c r="F3" s="29" t="s">
        <v>70</v>
      </c>
      <c r="G3" s="29" t="s">
        <v>71</v>
      </c>
      <c r="H3" s="29" t="s">
        <v>55</v>
      </c>
      <c r="I3" s="29" t="s">
        <v>72</v>
      </c>
      <c r="J3" s="29" t="s">
        <v>73</v>
      </c>
      <c r="K3" s="29" t="s">
        <v>74</v>
      </c>
    </row>
    <row r="4" spans="1:11" ht="22.5" customHeight="1">
      <c r="D4" s="30" t="s">
        <v>75</v>
      </c>
      <c r="E4" s="30" t="s">
        <v>75</v>
      </c>
      <c r="F4" s="30" t="s">
        <v>44</v>
      </c>
      <c r="G4" s="30" t="s">
        <v>44</v>
      </c>
      <c r="H4" s="30" t="s">
        <v>44</v>
      </c>
      <c r="I4" s="30" t="s">
        <v>44</v>
      </c>
      <c r="J4" s="30" t="s">
        <v>58</v>
      </c>
      <c r="K4" s="30" t="s">
        <v>58</v>
      </c>
    </row>
    <row r="5" spans="1:11" ht="22.5" customHeight="1">
      <c r="D5" s="28">
        <v>0.78400000000000003</v>
      </c>
      <c r="E5" s="28">
        <v>5.0000000000000001E-4</v>
      </c>
      <c r="F5" s="28">
        <v>17.739999999999998</v>
      </c>
      <c r="G5" s="28">
        <v>0.13200000000000001</v>
      </c>
      <c r="H5" s="28">
        <f>(F5/10)</f>
        <v>1.7739999999999998</v>
      </c>
      <c r="I5" s="28">
        <v>1.32E-2</v>
      </c>
      <c r="J5" s="28">
        <f>POWER(H5, 2)</f>
        <v>3.1470759999999993</v>
      </c>
      <c r="K5" s="28">
        <f>(2* H5 * I5)</f>
        <v>4.6833599999999996E-2</v>
      </c>
    </row>
    <row r="6" spans="1:11" ht="22.5" customHeight="1">
      <c r="D6" s="17">
        <v>0.53700000000000003</v>
      </c>
      <c r="E6" s="28">
        <v>5.0000000000000001E-4</v>
      </c>
      <c r="F6" s="17">
        <v>14.71</v>
      </c>
      <c r="G6" s="28">
        <v>0.13200000000000001</v>
      </c>
      <c r="H6" s="28">
        <f t="shared" ref="H6:H10" si="0">(F6/10)</f>
        <v>1.4710000000000001</v>
      </c>
      <c r="I6" s="28">
        <v>1.32E-2</v>
      </c>
      <c r="J6" s="28">
        <f t="shared" ref="J6:J10" si="1">POWER(H6, 2)</f>
        <v>2.1638410000000001</v>
      </c>
      <c r="K6" s="28">
        <f t="shared" ref="K6:K10" si="2">(2* H6 * I6)</f>
        <v>3.8834400000000005E-2</v>
      </c>
    </row>
    <row r="7" spans="1:11" ht="22.5" customHeight="1">
      <c r="D7" s="17">
        <v>0.48699999999999999</v>
      </c>
      <c r="E7" s="28">
        <v>5.0000000000000001E-4</v>
      </c>
      <c r="F7" s="17">
        <v>13.72</v>
      </c>
      <c r="G7" s="28">
        <v>0.13200000000000001</v>
      </c>
      <c r="H7" s="28">
        <f t="shared" si="0"/>
        <v>1.3720000000000001</v>
      </c>
      <c r="I7" s="28">
        <v>1.32E-2</v>
      </c>
      <c r="J7" s="28">
        <f t="shared" si="1"/>
        <v>1.8823840000000003</v>
      </c>
      <c r="K7" s="28">
        <f t="shared" si="2"/>
        <v>3.6220800000000004E-2</v>
      </c>
    </row>
    <row r="8" spans="1:11" ht="22.5" customHeight="1">
      <c r="D8" s="17">
        <v>0.434</v>
      </c>
      <c r="E8" s="28">
        <v>5.0000000000000001E-4</v>
      </c>
      <c r="F8" s="17">
        <v>12.93</v>
      </c>
      <c r="G8" s="28">
        <v>0.13200000000000001</v>
      </c>
      <c r="H8" s="28">
        <f t="shared" si="0"/>
        <v>1.2929999999999999</v>
      </c>
      <c r="I8" s="28">
        <v>1.32E-2</v>
      </c>
      <c r="J8" s="28">
        <f t="shared" si="1"/>
        <v>1.6718489999999999</v>
      </c>
      <c r="K8" s="28">
        <f t="shared" si="2"/>
        <v>3.4135199999999997E-2</v>
      </c>
    </row>
    <row r="9" spans="1:11" ht="22.5" customHeight="1">
      <c r="D9" s="17">
        <v>0.40500000000000003</v>
      </c>
      <c r="E9" s="28">
        <v>5.0000000000000001E-4</v>
      </c>
      <c r="F9" s="17">
        <v>12.78</v>
      </c>
      <c r="G9" s="28">
        <v>0.13200000000000001</v>
      </c>
      <c r="H9" s="28">
        <f t="shared" si="0"/>
        <v>1.278</v>
      </c>
      <c r="I9" s="28">
        <v>1.32E-2</v>
      </c>
      <c r="J9" s="28">
        <f t="shared" si="1"/>
        <v>1.633284</v>
      </c>
      <c r="K9" s="28">
        <f t="shared" si="2"/>
        <v>3.3739200000000004E-2</v>
      </c>
    </row>
    <row r="10" spans="1:11" ht="22.5" customHeight="1">
      <c r="D10" s="17">
        <v>0.33800000000000002</v>
      </c>
      <c r="E10" s="28">
        <v>5.0000000000000001E-4</v>
      </c>
      <c r="F10" s="17">
        <v>11.61</v>
      </c>
      <c r="G10" s="28">
        <v>0.13200000000000001</v>
      </c>
      <c r="H10" s="28">
        <f t="shared" si="0"/>
        <v>1.161</v>
      </c>
      <c r="I10" s="28">
        <v>1.32E-2</v>
      </c>
      <c r="J10" s="28">
        <f t="shared" si="1"/>
        <v>1.3479210000000001</v>
      </c>
      <c r="K10" s="28">
        <f t="shared" si="2"/>
        <v>3.0650400000000001E-2</v>
      </c>
    </row>
    <row r="13" spans="1:11">
      <c r="D13" s="26" t="s">
        <v>76</v>
      </c>
      <c r="E13" s="17" t="s">
        <v>77</v>
      </c>
    </row>
    <row r="14" spans="1:11">
      <c r="D14" s="26" t="s">
        <v>47</v>
      </c>
      <c r="E14" s="28" t="s">
        <v>78</v>
      </c>
    </row>
    <row r="15" spans="1:11">
      <c r="D15" s="26" t="s">
        <v>79</v>
      </c>
      <c r="E15" s="28" t="s">
        <v>46</v>
      </c>
    </row>
    <row r="16" spans="1:11">
      <c r="D16" s="26" t="s">
        <v>80</v>
      </c>
      <c r="E16" s="28">
        <v>0</v>
      </c>
    </row>
    <row r="20" spans="4:8">
      <c r="D20" t="s">
        <v>81</v>
      </c>
    </row>
    <row r="21" spans="4:8">
      <c r="D21" t="s">
        <v>82</v>
      </c>
      <c r="G21">
        <v>4.0655999999999999</v>
      </c>
      <c r="H21" t="s">
        <v>83</v>
      </c>
    </row>
    <row r="22" spans="4:8">
      <c r="D22" t="s">
        <v>84</v>
      </c>
      <c r="G22">
        <v>0.11990000000000001</v>
      </c>
      <c r="H22" t="s">
        <v>83</v>
      </c>
    </row>
    <row r="23" spans="4:8">
      <c r="D23" t="s">
        <v>85</v>
      </c>
      <c r="G23">
        <v>-4.82E-2</v>
      </c>
      <c r="H23" t="s">
        <v>86</v>
      </c>
    </row>
    <row r="24" spans="4:8">
      <c r="D24" t="s">
        <v>87</v>
      </c>
      <c r="G24">
        <v>6.2E-2</v>
      </c>
      <c r="H24" t="s">
        <v>86</v>
      </c>
    </row>
    <row r="25" spans="4:8">
      <c r="D25" t="s">
        <v>88</v>
      </c>
      <c r="G25">
        <v>0.99653000000000003</v>
      </c>
    </row>
    <row r="26" spans="4:8">
      <c r="D26" t="s">
        <v>89</v>
      </c>
      <c r="G26" t="s">
        <v>90</v>
      </c>
    </row>
    <row r="27" spans="4:8">
      <c r="D27" t="s">
        <v>91</v>
      </c>
      <c r="G27">
        <v>9.7100000000000009</v>
      </c>
      <c r="H27" t="s">
        <v>36</v>
      </c>
    </row>
    <row r="28" spans="4:8">
      <c r="D28" t="s">
        <v>92</v>
      </c>
      <c r="G28">
        <v>0.28599999999999998</v>
      </c>
      <c r="H28" t="s">
        <v>36</v>
      </c>
    </row>
    <row r="29" spans="4:8">
      <c r="D29" t="s">
        <v>53</v>
      </c>
      <c r="G29" s="37">
        <v>2.9499999999999998E-2</v>
      </c>
    </row>
  </sheetData>
  <mergeCells count="1">
    <mergeCell ref="A1:K1"/>
  </mergeCells>
  <pageMargins left="0.25" right="0.25"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6"/>
  <sheetViews>
    <sheetView tabSelected="1" topLeftCell="A4" workbookViewId="0">
      <selection activeCell="F16" sqref="C11:F16"/>
    </sheetView>
  </sheetViews>
  <sheetFormatPr defaultRowHeight="14.45"/>
  <cols>
    <col min="3" max="3" width="10.85546875" customWidth="1"/>
    <col min="4" max="5" width="16.28515625" style="5" customWidth="1"/>
    <col min="6" max="6" width="11.28515625" bestFit="1" customWidth="1"/>
  </cols>
  <sheetData>
    <row r="1" spans="1:8">
      <c r="A1" s="50" t="s">
        <v>93</v>
      </c>
      <c r="B1" s="50"/>
      <c r="C1" s="50"/>
      <c r="D1" s="50"/>
      <c r="E1" s="50"/>
      <c r="F1" s="50"/>
      <c r="G1" s="50"/>
      <c r="H1" s="50"/>
    </row>
    <row r="2" spans="1:8">
      <c r="A2" s="27"/>
    </row>
    <row r="3" spans="1:8">
      <c r="A3" s="27"/>
    </row>
    <row r="4" spans="1:8" ht="45" customHeight="1">
      <c r="D4" s="15" t="s">
        <v>94</v>
      </c>
      <c r="E4" s="15" t="s">
        <v>95</v>
      </c>
    </row>
    <row r="5" spans="1:8">
      <c r="C5" s="25" t="s">
        <v>96</v>
      </c>
      <c r="D5" s="6" t="s">
        <v>97</v>
      </c>
      <c r="E5" s="6" t="s">
        <v>97</v>
      </c>
    </row>
    <row r="6" spans="1:8">
      <c r="C6" s="25" t="s">
        <v>98</v>
      </c>
      <c r="D6" s="6" t="s">
        <v>99</v>
      </c>
      <c r="E6" s="6" t="s">
        <v>97</v>
      </c>
    </row>
    <row r="7" spans="1:8">
      <c r="C7" s="25" t="s">
        <v>100</v>
      </c>
      <c r="D7" s="6" t="s">
        <v>97</v>
      </c>
      <c r="E7" s="6" t="s">
        <v>97</v>
      </c>
    </row>
    <row r="8" spans="1:8">
      <c r="C8" s="25" t="s">
        <v>101</v>
      </c>
      <c r="D8" s="6" t="s">
        <v>97</v>
      </c>
      <c r="E8" s="6" t="s">
        <v>97</v>
      </c>
    </row>
    <row r="11" spans="1:8" ht="15" thickBot="1">
      <c r="C11" s="43" t="s">
        <v>102</v>
      </c>
      <c r="D11" s="43" t="s">
        <v>103</v>
      </c>
      <c r="E11" s="43" t="s">
        <v>104</v>
      </c>
      <c r="F11" s="43" t="s">
        <v>105</v>
      </c>
      <c r="G11" s="40"/>
    </row>
    <row r="12" spans="1:8" ht="25.5" thickBot="1">
      <c r="C12" s="44" t="s">
        <v>106</v>
      </c>
      <c r="D12" s="45" t="s">
        <v>107</v>
      </c>
      <c r="E12" s="45" t="s">
        <v>108</v>
      </c>
      <c r="F12" s="46">
        <f>(ABS(9-9.808)/9.808)*100</f>
        <v>8.2381729200652511</v>
      </c>
      <c r="G12" s="41" t="s">
        <v>109</v>
      </c>
    </row>
    <row r="13" spans="1:8" ht="25.5" thickBot="1">
      <c r="C13" s="44" t="s">
        <v>110</v>
      </c>
      <c r="D13" s="45" t="s">
        <v>111</v>
      </c>
      <c r="E13" s="45" t="s">
        <v>112</v>
      </c>
      <c r="F13" s="46">
        <f>(ABS(10.9-9.808)/9.808)*100</f>
        <v>11.13376835236542</v>
      </c>
      <c r="G13" s="41" t="s">
        <v>109</v>
      </c>
    </row>
    <row r="14" spans="1:8" ht="38.1" thickBot="1">
      <c r="C14" s="44" t="s">
        <v>113</v>
      </c>
      <c r="D14" s="45" t="s">
        <v>114</v>
      </c>
      <c r="E14" s="45" t="s">
        <v>115</v>
      </c>
      <c r="F14" s="46">
        <f>(ABS(9.8-9.808)/9.808)*100</f>
        <v>8.1566068515488574E-2</v>
      </c>
      <c r="G14" s="41" t="s">
        <v>109</v>
      </c>
    </row>
    <row r="15" spans="1:8" ht="24.95">
      <c r="C15" s="44" t="s">
        <v>116</v>
      </c>
      <c r="D15" s="45" t="s">
        <v>117</v>
      </c>
      <c r="E15" s="45" t="s">
        <v>118</v>
      </c>
      <c r="F15" s="46">
        <f>(ABS(9.7-9.808)/9.808)*100</f>
        <v>1.1011419249592225</v>
      </c>
      <c r="G15" s="42" t="s">
        <v>109</v>
      </c>
    </row>
    <row r="16" spans="1:8" ht="19.5" customHeight="1">
      <c r="C16" s="44" t="s">
        <v>119</v>
      </c>
      <c r="D16" s="47">
        <v>9.8079999999999998</v>
      </c>
      <c r="E16" s="48">
        <v>1E-4</v>
      </c>
      <c r="F16" s="49">
        <v>0</v>
      </c>
      <c r="G16" s="39"/>
    </row>
  </sheetData>
  <mergeCells count="1">
    <mergeCell ref="A1:H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8060C9428653149BF89F78307FE8A80" ma:contentTypeVersion="10" ma:contentTypeDescription="Create a new document." ma:contentTypeScope="" ma:versionID="1e7b8efbc076ac1c8125e71cdc944ea1">
  <xsd:schema xmlns:xsd="http://www.w3.org/2001/XMLSchema" xmlns:xs="http://www.w3.org/2001/XMLSchema" xmlns:p="http://schemas.microsoft.com/office/2006/metadata/properties" xmlns:ns3="38ae49a9-4612-404a-be9b-9e424eb085ba" targetNamespace="http://schemas.microsoft.com/office/2006/metadata/properties" ma:root="true" ma:fieldsID="398d09f59a071ad7fc1357369629446c" ns3:_="">
    <xsd:import namespace="38ae49a9-4612-404a-be9b-9e424eb085ba"/>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ae49a9-4612-404a-be9b-9e424eb085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38ae49a9-4612-404a-be9b-9e424eb085ba" xsi:nil="true"/>
  </documentManagement>
</p:properties>
</file>

<file path=customXml/itemProps1.xml><?xml version="1.0" encoding="utf-8"?>
<ds:datastoreItem xmlns:ds="http://schemas.openxmlformats.org/officeDocument/2006/customXml" ds:itemID="{C2BB3916-48C2-483E-A43E-2B31E9521439}"/>
</file>

<file path=customXml/itemProps2.xml><?xml version="1.0" encoding="utf-8"?>
<ds:datastoreItem xmlns:ds="http://schemas.openxmlformats.org/officeDocument/2006/customXml" ds:itemID="{77FC264B-AC8F-430F-A20F-20A77B666A40}"/>
</file>

<file path=customXml/itemProps3.xml><?xml version="1.0" encoding="utf-8"?>
<ds:datastoreItem xmlns:ds="http://schemas.openxmlformats.org/officeDocument/2006/customXml" ds:itemID="{373975EB-8B60-43AA-B65D-3D1BF2008D06}"/>
</file>

<file path=docProps/app.xml><?xml version="1.0" encoding="utf-8"?>
<Properties xmlns="http://schemas.openxmlformats.org/officeDocument/2006/extended-properties" xmlns:vt="http://schemas.openxmlformats.org/officeDocument/2006/docPropsVTypes">
  <Application>Microsoft Excel Online</Application>
  <Manager/>
  <Company>University of Calgary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Anna Harlick</dc:creator>
  <cp:keywords/>
  <dc:description/>
  <cp:lastModifiedBy/>
  <cp:revision/>
  <dcterms:created xsi:type="dcterms:W3CDTF">2018-07-31T19:47:19Z</dcterms:created>
  <dcterms:modified xsi:type="dcterms:W3CDTF">2026-10-16T03:10:57Z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0x01010068060C9428653149BF89F78307FE8A80</vt:lpwstr>
  </property>
</Properties>
</file>