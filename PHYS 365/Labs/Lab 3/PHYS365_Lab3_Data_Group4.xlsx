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910" windowHeight="12270" tabRatio="600" firstSheet="0" activeTab="0" autoFilterDateGrouping="1"/>
  </bookViews>
  <sheets>
    <sheet xmlns:r="http://schemas.openxmlformats.org/officeDocument/2006/relationships" name="Part 1" sheetId="1" state="visible" r:id="rId1"/>
    <sheet xmlns:r="http://schemas.openxmlformats.org/officeDocument/2006/relationships" name="Part 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E+00"/>
    <numFmt numFmtId="165" formatCode="0.000"/>
  </numFmts>
  <fonts count="13">
    <font>
      <name val="Calibri"/>
      <family val="2"/>
      <color theme="1"/>
      <sz val="11"/>
      <scheme val="minor"/>
    </font>
    <font>
      <name val="Arial"/>
      <sz val="18"/>
    </font>
    <font>
      <name val="Calibri"/>
      <color rgb="FF000000"/>
      <sz val="20"/>
    </font>
    <font>
      <name val="Calibri"/>
      <family val="2"/>
      <color theme="1"/>
      <sz val="20"/>
      <scheme val="minor"/>
    </font>
    <font>
      <name val="Calibri"/>
      <family val="2"/>
      <color rgb="FF000000"/>
      <sz val="20"/>
    </font>
    <font>
      <name val="Arial"/>
      <family val="2"/>
      <sz val="18"/>
    </font>
    <font>
      <name val="Arial"/>
      <family val="2"/>
      <color theme="1"/>
      <sz val="11"/>
    </font>
    <font>
      <name val="Arial"/>
      <family val="2"/>
      <color rgb="FF000000"/>
      <sz val="11"/>
    </font>
    <font>
      <name val="Arial"/>
      <family val="2"/>
      <sz val="11"/>
    </font>
    <font>
      <name val="Calibri"/>
      <family val="2"/>
      <color rgb="FF000000"/>
      <sz val="11"/>
    </font>
    <font>
      <name val="Arial"/>
      <family val="2"/>
      <b val="1"/>
      <sz val="18"/>
    </font>
    <font>
      <name val="Calibri"/>
      <family val="2"/>
      <b val="1"/>
      <color rgb="FF000000"/>
      <sz val="11"/>
    </font>
    <font>
      <name val="Arial"/>
      <family val="2"/>
      <color rgb="FF000000"/>
      <sz val="20"/>
    </font>
  </fonts>
  <fills count="6">
    <fill>
      <patternFill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0" borderId="0" pivotButton="0" quotePrefix="0" xfId="0"/>
    <xf numFmtId="0" fontId="2" fillId="0" borderId="10" applyAlignment="1" pivotButton="0" quotePrefix="0" xfId="0">
      <alignment horizontal="center" vertical="center" wrapText="1" readingOrder="1"/>
    </xf>
    <xf numFmtId="0" fontId="2" fillId="0" borderId="11" applyAlignment="1" pivotButton="0" quotePrefix="0" xfId="0">
      <alignment horizontal="center" vertical="center" wrapText="1" readingOrder="1"/>
    </xf>
    <xf numFmtId="0" fontId="2" fillId="0" borderId="12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 readingOrder="1"/>
    </xf>
    <xf numFmtId="0" fontId="2" fillId="0" borderId="14" applyAlignment="1" pivotButton="0" quotePrefix="0" xfId="0">
      <alignment horizontal="center" vertical="center" wrapText="1" readingOrder="1"/>
    </xf>
    <xf numFmtId="0" fontId="2" fillId="0" borderId="16" applyAlignment="1" pivotButton="0" quotePrefix="0" xfId="0">
      <alignment horizontal="center" vertical="center" wrapText="1" readingOrder="1"/>
    </xf>
    <xf numFmtId="0" fontId="2" fillId="0" borderId="17" applyAlignment="1" pivotButton="0" quotePrefix="0" xfId="0">
      <alignment horizontal="center" vertical="center" wrapText="1" readingOrder="1"/>
    </xf>
    <xf numFmtId="0" fontId="4" fillId="0" borderId="18" applyAlignment="1" pivotButton="0" quotePrefix="0" xfId="0">
      <alignment horizontal="center" vertical="center" wrapText="1" readingOrder="1"/>
    </xf>
    <xf numFmtId="0" fontId="8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vertical="center" wrapText="1" readingOrder="1"/>
    </xf>
    <xf numFmtId="0" fontId="7" fillId="0" borderId="10" applyAlignment="1" pivotButton="0" quotePrefix="0" xfId="0">
      <alignment horizontal="center" vertical="center" wrapText="1" readingOrder="1"/>
    </xf>
    <xf numFmtId="0" fontId="8" fillId="0" borderId="10" applyAlignment="1" pivotButton="0" quotePrefix="0" xfId="0">
      <alignment horizontal="center" wrapText="1"/>
    </xf>
    <xf numFmtId="0" fontId="7" fillId="0" borderId="15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horizontal="center"/>
    </xf>
    <xf numFmtId="0" fontId="8" fillId="3" borderId="10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0" fontId="7" fillId="0" borderId="10" applyAlignment="1" pivotButton="0" quotePrefix="0" xfId="0">
      <alignment horizontal="center" wrapText="1" readingOrder="1"/>
    </xf>
    <xf numFmtId="0" fontId="6" fillId="0" borderId="10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8" fillId="0" borderId="17" applyAlignment="1" pivotButton="0" quotePrefix="0" xfId="0">
      <alignment horizontal="center" wrapText="1"/>
    </xf>
    <xf numFmtId="0" fontId="7" fillId="0" borderId="17" applyAlignment="1" pivotButton="0" quotePrefix="0" xfId="0">
      <alignment horizontal="center" wrapText="1" readingOrder="1"/>
    </xf>
    <xf numFmtId="0" fontId="6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9" fillId="0" borderId="2" applyAlignment="1" pivotButton="0" quotePrefix="0" xfId="0">
      <alignment horizontal="center" vertical="center" wrapText="1" readingOrder="1"/>
    </xf>
    <xf numFmtId="0" fontId="8" fillId="0" borderId="3" applyAlignment="1" pivotButton="0" quotePrefix="0" xfId="0">
      <alignment horizontal="center" wrapText="1"/>
    </xf>
    <xf numFmtId="0" fontId="9" fillId="0" borderId="3" applyAlignment="1" pivotButton="0" quotePrefix="0" xfId="0">
      <alignment horizontal="center" vertical="center" wrapText="1" readingOrder="1"/>
    </xf>
    <xf numFmtId="0" fontId="9" fillId="0" borderId="7" applyAlignment="1" pivotButton="0" quotePrefix="0" xfId="0">
      <alignment horizontal="center" vertical="center" wrapText="1" readingOrder="1"/>
    </xf>
    <xf numFmtId="0" fontId="8" fillId="0" borderId="8" applyAlignment="1" pivotButton="0" quotePrefix="0" xfId="0">
      <alignment horizontal="center" wrapText="1"/>
    </xf>
    <xf numFmtId="0" fontId="9" fillId="0" borderId="8" applyAlignment="1" pivotButton="0" quotePrefix="0" xfId="0">
      <alignment horizontal="center" vertical="center" wrapText="1" readingOrder="1"/>
    </xf>
    <xf numFmtId="49" fontId="4" fillId="2" borderId="2" applyAlignment="1" pivotButton="0" quotePrefix="0" xfId="0">
      <alignment horizontal="center" vertical="center" wrapText="1" readingOrder="1"/>
    </xf>
    <xf numFmtId="49" fontId="4" fillId="2" borderId="3" applyAlignment="1" pivotButton="0" quotePrefix="0" xfId="0">
      <alignment horizontal="center" vertical="center" wrapText="1" readingOrder="1"/>
    </xf>
    <xf numFmtId="49" fontId="4" fillId="2" borderId="4" applyAlignment="1" pivotButton="0" quotePrefix="0" xfId="0">
      <alignment horizontal="center" vertical="center" wrapText="1" readingOrder="1"/>
    </xf>
    <xf numFmtId="0" fontId="7" fillId="4" borderId="14" applyAlignment="1" pivotButton="0" quotePrefix="0" xfId="0">
      <alignment horizontal="center" wrapText="1" readingOrder="1"/>
    </xf>
    <xf numFmtId="0" fontId="7" fillId="4" borderId="16" applyAlignment="1" pivotButton="0" quotePrefix="0" xfId="0">
      <alignment horizontal="center" wrapText="1" readingOrder="1"/>
    </xf>
    <xf numFmtId="0" fontId="10" fillId="0" borderId="12" applyAlignment="1" pivotButton="0" quotePrefix="0" xfId="0">
      <alignment horizontal="center" wrapText="1"/>
    </xf>
    <xf numFmtId="0" fontId="11" fillId="0" borderId="9" applyAlignment="1" pivotButton="0" quotePrefix="0" xfId="0">
      <alignment horizontal="center" vertical="center" wrapText="1" readingOrder="1"/>
    </xf>
    <xf numFmtId="0" fontId="11" fillId="5" borderId="4" applyAlignment="1" pivotButton="0" quotePrefix="0" xfId="0">
      <alignment horizontal="center" vertical="center" wrapText="1" readingOrder="1"/>
    </xf>
    <xf numFmtId="0" fontId="4" fillId="5" borderId="15" applyAlignment="1" pivotButton="0" quotePrefix="0" xfId="0">
      <alignment horizontal="center" vertical="center" wrapText="1" readingOrder="1"/>
    </xf>
    <xf numFmtId="0" fontId="4" fillId="0" borderId="5" applyAlignment="1" pivotButton="0" quotePrefix="0" xfId="0">
      <alignment horizontal="center" wrapText="1" readingOrder="1"/>
    </xf>
    <xf numFmtId="0" fontId="4" fillId="0" borderId="7" applyAlignment="1" pivotButton="0" quotePrefix="0" xfId="0">
      <alignment horizontal="center" wrapText="1" readingOrder="1"/>
    </xf>
    <xf numFmtId="2" fontId="4" fillId="0" borderId="1" applyAlignment="1" pivotButton="0" quotePrefix="0" xfId="0">
      <alignment horizontal="right" wrapText="1" readingOrder="1"/>
    </xf>
    <xf numFmtId="2" fontId="5" fillId="0" borderId="1" applyAlignment="1" pivotButton="0" quotePrefix="0" xfId="0">
      <alignment horizontal="right" wrapText="1"/>
    </xf>
    <xf numFmtId="2" fontId="5" fillId="0" borderId="6" applyAlignment="1" pivotButton="0" quotePrefix="0" xfId="0">
      <alignment horizontal="right" wrapText="1"/>
    </xf>
    <xf numFmtId="2" fontId="5" fillId="0" borderId="1" applyAlignment="1" pivotButton="0" quotePrefix="0" xfId="0">
      <alignment wrapText="1"/>
    </xf>
    <xf numFmtId="2" fontId="5" fillId="0" borderId="6" applyAlignment="1" pivotButton="0" quotePrefix="0" xfId="0">
      <alignment wrapText="1"/>
    </xf>
    <xf numFmtId="2" fontId="5" fillId="0" borderId="8" applyAlignment="1" pivotButton="0" quotePrefix="0" xfId="0">
      <alignment horizontal="right" wrapText="1"/>
    </xf>
    <xf numFmtId="2" fontId="5" fillId="0" borderId="9" applyAlignment="1" pivotButton="0" quotePrefix="0" xfId="0">
      <alignment horizontal="right" wrapText="1"/>
    </xf>
    <xf numFmtId="164" fontId="1" fillId="0" borderId="10" applyAlignment="1" pivotButton="0" quotePrefix="0" xfId="0">
      <alignment horizontal="center" wrapText="1"/>
    </xf>
    <xf numFmtId="2" fontId="1" fillId="0" borderId="12" applyAlignment="1" pivotButton="0" quotePrefix="0" xfId="0">
      <alignment horizontal="center" wrapText="1"/>
    </xf>
    <xf numFmtId="2" fontId="1" fillId="0" borderId="17" applyAlignment="1" pivotButton="0" quotePrefix="0" xfId="0">
      <alignment horizontal="center" wrapText="1"/>
    </xf>
    <xf numFmtId="165" fontId="1" fillId="0" borderId="17" applyAlignment="1" pivotButton="0" quotePrefix="0" xfId="0">
      <alignment horizontal="center" wrapText="1"/>
    </xf>
    <xf numFmtId="0" fontId="12" fillId="2" borderId="11" applyAlignment="1" pivotButton="0" quotePrefix="0" xfId="0">
      <alignment horizontal="center" vertical="center" wrapText="1" readingOrder="1"/>
    </xf>
    <xf numFmtId="0" fontId="12" fillId="2" borderId="12" applyAlignment="1" pivotButton="0" quotePrefix="0" xfId="0">
      <alignment horizontal="center" vertical="center" wrapText="1" readingOrder="1"/>
    </xf>
    <xf numFmtId="0" fontId="12" fillId="2" borderId="13" applyAlignment="1" pivotButton="0" quotePrefix="0" xfId="0">
      <alignment horizontal="center" vertical="center" wrapText="1" readingOrder="1"/>
    </xf>
    <xf numFmtId="0" fontId="2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Normal="100" workbookViewId="0">
      <selection activeCell="A10" sqref="A10"/>
    </sheetView>
  </sheetViews>
  <sheetFormatPr baseColWidth="8" defaultRowHeight="15"/>
  <cols>
    <col width="21.28515625" customWidth="1" min="1" max="1"/>
    <col width="21" customWidth="1" min="2" max="2"/>
    <col width="22.7109375" customWidth="1" min="3" max="3"/>
    <col width="22.5703125" customWidth="1" min="4" max="4"/>
    <col width="13" customWidth="1" min="7" max="7"/>
    <col width="13.140625" customWidth="1" min="9" max="9"/>
    <col width="10" customWidth="1" min="10" max="10"/>
  </cols>
  <sheetData>
    <row r="1" ht="98.09999999999999" customHeight="1" thickBot="1">
      <c r="A1" s="31" t="inlineStr">
        <is>
          <t>Harmonic number, n</t>
        </is>
      </c>
      <c r="B1" s="32" t="inlineStr">
        <is>
          <t>Calculated frequency [Hz]</t>
        </is>
      </c>
      <c r="C1" s="32" t="inlineStr">
        <is>
          <t xml:space="preserve">Experimental frequency, f [Hz] </t>
        </is>
      </c>
      <c r="D1" s="33" t="inlineStr">
        <is>
          <t>Experimental uncertainty u(f) [Hz]</t>
        </is>
      </c>
      <c r="E1" s="1" t="n"/>
    </row>
    <row r="2" ht="26.25" customHeight="1">
      <c r="A2" s="40" t="n">
        <v>1</v>
      </c>
      <c r="B2" s="42">
        <f>A2*$G$8</f>
        <v/>
      </c>
      <c r="C2" s="43" t="n"/>
      <c r="D2" s="44" t="n"/>
      <c r="F2" s="3" t="inlineStr">
        <is>
          <t>m</t>
        </is>
      </c>
      <c r="G2" s="50" t="n">
        <v>0.5</v>
      </c>
      <c r="H2" s="4" t="inlineStr">
        <is>
          <t>u(m)</t>
        </is>
      </c>
      <c r="I2" s="36" t="n">
        <v>0</v>
      </c>
      <c r="J2" s="5" t="inlineStr">
        <is>
          <t>kg</t>
        </is>
      </c>
    </row>
    <row r="3" ht="36" customHeight="1">
      <c r="A3" s="40" t="n">
        <v>2</v>
      </c>
      <c r="B3" s="43">
        <f>A3*$G$8</f>
        <v/>
      </c>
      <c r="C3" s="43" t="n"/>
      <c r="D3" s="44" t="n"/>
      <c r="F3" s="6" t="inlineStr">
        <is>
          <t>μ</t>
        </is>
      </c>
      <c r="G3" s="49" t="n">
        <v>0.00058</v>
      </c>
      <c r="H3" s="2" t="inlineStr">
        <is>
          <t>u(μ)</t>
        </is>
      </c>
      <c r="I3" s="49" t="n">
        <v>1e-05</v>
      </c>
      <c r="J3" s="39" t="inlineStr">
        <is>
          <t>kg/m</t>
        </is>
      </c>
    </row>
    <row r="4" ht="27" customHeight="1" thickBot="1">
      <c r="A4" s="40" t="n">
        <v>3</v>
      </c>
      <c r="B4" s="43">
        <f>A4*$G$8</f>
        <v/>
      </c>
      <c r="C4" s="45" t="n"/>
      <c r="D4" s="46" t="n"/>
      <c r="F4" s="7" t="inlineStr">
        <is>
          <t>L</t>
        </is>
      </c>
      <c r="G4" s="51" t="n"/>
      <c r="H4" s="8" t="inlineStr">
        <is>
          <t>u(L)</t>
        </is>
      </c>
      <c r="I4" s="52" t="n"/>
      <c r="J4" s="9" t="inlineStr">
        <is>
          <t>m</t>
        </is>
      </c>
    </row>
    <row r="5" ht="26.25" customHeight="1">
      <c r="A5" s="40" t="n">
        <v>4</v>
      </c>
      <c r="B5" s="43">
        <f>A5*$G$8</f>
        <v/>
      </c>
      <c r="C5" s="45" t="n"/>
      <c r="D5" s="46" t="n"/>
      <c r="F5" s="56" t="inlineStr">
        <is>
          <t>g</t>
        </is>
      </c>
      <c r="G5" t="n">
        <v>9.81</v>
      </c>
      <c r="J5" s="57" t="inlineStr">
        <is>
          <t>m/s^2</t>
        </is>
      </c>
    </row>
    <row r="6" ht="26.25" customHeight="1">
      <c r="A6" s="40" t="n">
        <v>5</v>
      </c>
      <c r="B6" s="43">
        <f>A6*$G$8</f>
        <v/>
      </c>
      <c r="C6" s="45" t="n"/>
      <c r="D6" s="46" t="n"/>
      <c r="F6" s="56" t="inlineStr">
        <is>
          <t>T</t>
        </is>
      </c>
      <c r="G6">
        <f>G2*G5</f>
        <v/>
      </c>
      <c r="H6" s="56" t="inlineStr">
        <is>
          <t>u(T)</t>
        </is>
      </c>
      <c r="I6" t="n">
        <v>0</v>
      </c>
      <c r="J6" s="57" t="inlineStr">
        <is>
          <t>N</t>
        </is>
      </c>
    </row>
    <row r="7" ht="26.25" customHeight="1">
      <c r="A7" s="40" t="n">
        <v>6</v>
      </c>
      <c r="B7" s="43">
        <f>A7*$G$8</f>
        <v/>
      </c>
      <c r="C7" s="45" t="n"/>
      <c r="D7" s="46" t="n"/>
      <c r="F7" s="56" t="inlineStr">
        <is>
          <t>v</t>
        </is>
      </c>
      <c r="G7">
        <f>SQRT(G6/G3)</f>
        <v/>
      </c>
      <c r="H7" s="56" t="inlineStr">
        <is>
          <t>u(v)</t>
        </is>
      </c>
      <c r="I7">
        <f>0.5*SQRT(G6/G3^3)*I3</f>
        <v/>
      </c>
      <c r="J7" s="57" t="inlineStr">
        <is>
          <t>m/s</t>
        </is>
      </c>
    </row>
    <row r="8" ht="26.25" customHeight="1">
      <c r="A8" s="40" t="n">
        <v>7</v>
      </c>
      <c r="B8" s="43">
        <f>A8*$G$8</f>
        <v/>
      </c>
      <c r="C8" s="45" t="n"/>
      <c r="D8" s="46" t="n"/>
      <c r="F8" s="56" t="inlineStr">
        <is>
          <t>Expected slope v/(2L)</t>
        </is>
      </c>
      <c r="G8">
        <f>G7/(2*G4)</f>
        <v/>
      </c>
      <c r="H8" s="56" t="inlineStr">
        <is>
          <t>u(slope)</t>
        </is>
      </c>
      <c r="I8">
        <f>G8*SQRT((I7/G7)^2+(I4/G4)^2)</f>
        <v/>
      </c>
      <c r="J8" s="57" t="inlineStr">
        <is>
          <t>Hz</t>
        </is>
      </c>
    </row>
    <row r="9" ht="26.25" customHeight="1">
      <c r="A9" s="40" t="n">
        <v>8</v>
      </c>
      <c r="B9" s="43">
        <f>A9*$G$8</f>
        <v/>
      </c>
      <c r="C9" s="45" t="n"/>
      <c r="D9" s="46" t="n"/>
    </row>
    <row r="10" ht="26.25" customHeight="1">
      <c r="A10" s="40" t="n">
        <v>9</v>
      </c>
      <c r="B10" s="43">
        <f>A10*$G$8</f>
        <v/>
      </c>
      <c r="C10" s="45" t="n"/>
      <c r="D10" s="46" t="n"/>
    </row>
    <row r="11" ht="26.25" customHeight="1">
      <c r="A11" s="40" t="n">
        <v>10</v>
      </c>
      <c r="B11" s="43">
        <f>A11*$G$8</f>
        <v/>
      </c>
      <c r="C11" s="45" t="n"/>
      <c r="D11" s="46" t="n"/>
    </row>
    <row r="12" ht="26.25" customHeight="1">
      <c r="A12" s="40" t="n">
        <v>11</v>
      </c>
      <c r="B12" s="43">
        <f>A12*$G$8</f>
        <v/>
      </c>
      <c r="C12" s="45" t="n"/>
      <c r="D12" s="46" t="n"/>
    </row>
    <row r="13" ht="27" customHeight="1" thickBot="1">
      <c r="A13" s="41" t="n">
        <v>12</v>
      </c>
      <c r="B13" s="47">
        <f>A13*$G$8</f>
        <v/>
      </c>
      <c r="C13" s="47" t="n"/>
      <c r="D13" s="4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E1" sqref="E1"/>
    </sheetView>
  </sheetViews>
  <sheetFormatPr baseColWidth="8" defaultColWidth="8.85546875" defaultRowHeight="15"/>
  <cols>
    <col width="16.85546875" customWidth="1" style="15" min="1" max="1"/>
    <col width="20.7109375" customWidth="1" style="15" min="2" max="2"/>
    <col width="15.85546875" customWidth="1" style="15" min="3" max="3"/>
    <col width="22" customWidth="1" style="15" min="4" max="4"/>
    <col width="28" customWidth="1" style="15" min="5" max="5"/>
    <col width="15" customWidth="1" style="15" min="6" max="6"/>
    <col width="16.42578125" customWidth="1" style="15" min="7" max="7"/>
    <col width="17.5703125" customWidth="1" style="15" min="8" max="8"/>
    <col width="14.42578125" customWidth="1" style="15" min="9" max="10"/>
    <col width="8.85546875" customWidth="1" style="15" min="11" max="16384"/>
  </cols>
  <sheetData>
    <row r="1" ht="76.5" customHeight="1">
      <c r="A1" s="53" t="inlineStr">
        <is>
          <t>Mass [kg]</t>
        </is>
      </c>
      <c r="B1" s="54" t="inlineStr">
        <is>
          <t xml:space="preserve">Tension, T [N] </t>
        </is>
      </c>
      <c r="C1" s="54" t="inlineStr">
        <is>
          <t>ln(T)</t>
        </is>
      </c>
      <c r="D1" s="54" t="inlineStr">
        <is>
          <t>Calculated Frequency [Hz]</t>
        </is>
      </c>
      <c r="E1" s="54" t="inlineStr">
        <is>
          <t>Experimental frequency [Hz]</t>
        </is>
      </c>
      <c r="F1" s="54" t="inlineStr">
        <is>
          <t>u(f) [Hz]</t>
        </is>
      </c>
      <c r="G1" s="54" t="inlineStr">
        <is>
          <t>Speed, v [m/s]</t>
        </is>
      </c>
      <c r="H1" s="54" t="inlineStr">
        <is>
          <t>u(v) [m/s]</t>
        </is>
      </c>
      <c r="I1" s="54" t="inlineStr">
        <is>
          <t>ln(v)</t>
        </is>
      </c>
      <c r="J1" s="55" t="inlineStr">
        <is>
          <t>u(ln(v))</t>
        </is>
      </c>
    </row>
    <row r="2">
      <c r="A2" s="34" t="n">
        <v>0.2</v>
      </c>
      <c r="B2" s="16">
        <f>A2*$B$14</f>
        <v/>
      </c>
      <c r="C2" s="16">
        <f>LN(B2)</f>
        <v/>
      </c>
      <c r="D2" s="16">
        <f>SQRT(B2/$B$12)/(2*$B$13)</f>
        <v/>
      </c>
      <c r="E2" s="16" t="n"/>
      <c r="F2" s="16" t="n"/>
      <c r="G2" s="16">
        <f>2*$B$13*E2</f>
        <v/>
      </c>
      <c r="H2" s="16">
        <f>G2*SQRT((F2/E2)^2+($D$13/$B$13)^2)</f>
        <v/>
      </c>
      <c r="I2" s="16">
        <f>LN(G2)</f>
        <v/>
      </c>
      <c r="J2" s="17">
        <f>H2/G2</f>
        <v/>
      </c>
      <c r="K2" s="10" t="inlineStr">
        <is>
          <t xml:space="preserve"> </t>
        </is>
      </c>
      <c r="L2" s="11" t="n"/>
    </row>
    <row r="3">
      <c r="A3" s="34" t="n">
        <v>0.3</v>
      </c>
      <c r="B3" s="13">
        <f>A3*$B$14</f>
        <v/>
      </c>
      <c r="C3" s="13">
        <f>LN(B3)</f>
        <v/>
      </c>
      <c r="D3" s="13">
        <f>SQRT(B3/$B$12)/(2*$B$13)</f>
        <v/>
      </c>
      <c r="E3" s="18" t="n"/>
      <c r="F3" s="18" t="n"/>
      <c r="G3" s="19">
        <f>2*$B$13*E3</f>
        <v/>
      </c>
      <c r="H3" s="12">
        <f>G3*SQRT((F3/E3)^2+($D$13/$B$13)^2)</f>
        <v/>
      </c>
      <c r="I3" s="13">
        <f>LN(G3)</f>
        <v/>
      </c>
      <c r="J3" s="14">
        <f>H3/G3</f>
        <v/>
      </c>
      <c r="K3" s="10" t="n"/>
      <c r="L3" s="11" t="n"/>
    </row>
    <row r="4">
      <c r="A4" s="34" t="n">
        <v>0.4</v>
      </c>
      <c r="B4" s="13">
        <f>A4*$B$14</f>
        <v/>
      </c>
      <c r="C4" s="13">
        <f>LN(B4)</f>
        <v/>
      </c>
      <c r="D4" s="13">
        <f>SQRT(B4/$B$12)/(2*$B$13)</f>
        <v/>
      </c>
      <c r="E4" s="18" t="n"/>
      <c r="F4" s="18" t="n"/>
      <c r="G4" s="19">
        <f>2*$B$13*E4</f>
        <v/>
      </c>
      <c r="H4" s="19">
        <f>G4*SQRT((F4/E4)^2+($D$13/$B$13)^2)</f>
        <v/>
      </c>
      <c r="I4" s="19">
        <f>LN(G4)</f>
        <v/>
      </c>
      <c r="J4" s="20">
        <f>H4/G4</f>
        <v/>
      </c>
    </row>
    <row r="5">
      <c r="A5" s="34" t="n">
        <v>0.5</v>
      </c>
      <c r="B5" s="13">
        <f>A5*$B$14</f>
        <v/>
      </c>
      <c r="C5" s="13">
        <f>LN(B5)</f>
        <v/>
      </c>
      <c r="D5" s="13">
        <f>SQRT(B5/$B$12)/(2*$B$13)</f>
        <v/>
      </c>
      <c r="E5" s="18" t="n"/>
      <c r="F5" s="18" t="n"/>
      <c r="G5" s="19">
        <f>2*$B$13*E5</f>
        <v/>
      </c>
      <c r="H5" s="19">
        <f>G5*SQRT((F5/E5)^2+($D$13/$B$13)^2)</f>
        <v/>
      </c>
      <c r="I5" s="19">
        <f>LN(G5)</f>
        <v/>
      </c>
      <c r="J5" s="20">
        <f>H5/G5</f>
        <v/>
      </c>
    </row>
    <row r="6">
      <c r="A6" s="34" t="n">
        <v>0.6</v>
      </c>
      <c r="B6" s="13">
        <f>A6*$B$14</f>
        <v/>
      </c>
      <c r="C6" s="13">
        <f>LN(B6)</f>
        <v/>
      </c>
      <c r="D6" s="13">
        <f>SQRT(B6/$B$12)/(2*$B$13)</f>
        <v/>
      </c>
      <c r="E6" s="18" t="n"/>
      <c r="F6" s="18" t="n"/>
      <c r="G6" s="19">
        <f>2*$B$13*E6</f>
        <v/>
      </c>
      <c r="H6" s="19">
        <f>G6*SQRT((F6/E6)^2+($D$13/$B$13)^2)</f>
        <v/>
      </c>
      <c r="I6" s="19">
        <f>LN(G6)</f>
        <v/>
      </c>
      <c r="J6" s="20">
        <f>H6/G6</f>
        <v/>
      </c>
    </row>
    <row r="7" ht="15.75" customHeight="1" thickBot="1">
      <c r="A7" s="35" t="n">
        <v>0.7</v>
      </c>
      <c r="B7" s="21">
        <f>A7*$B$14</f>
        <v/>
      </c>
      <c r="C7" s="21">
        <f>LN(B7)</f>
        <v/>
      </c>
      <c r="D7" s="21">
        <f>SQRT(B7/$B$12)/(2*$B$13)</f>
        <v/>
      </c>
      <c r="E7" s="22" t="n"/>
      <c r="F7" s="22" t="n"/>
      <c r="G7" s="23">
        <f>2*$B$13*E7</f>
        <v/>
      </c>
      <c r="H7" s="23">
        <f>G7*SQRT((F7/E7)^2+($D$13/$B$13)^2)</f>
        <v/>
      </c>
      <c r="I7" s="23">
        <f>LN(G7)</f>
        <v/>
      </c>
      <c r="J7" s="24">
        <f>H7/G7</f>
        <v/>
      </c>
    </row>
    <row r="11" ht="15.75" customHeight="1" thickBot="1"/>
    <row r="12">
      <c r="A12" s="25" t="inlineStr">
        <is>
          <t>μ</t>
        </is>
      </c>
      <c r="B12" s="26" t="n">
        <v>0.00058</v>
      </c>
      <c r="C12" s="27" t="inlineStr">
        <is>
          <t>u(μ)</t>
        </is>
      </c>
      <c r="D12" s="26" t="n">
        <v>1e-05</v>
      </c>
      <c r="E12" s="38" t="inlineStr">
        <is>
          <t>kg/m</t>
        </is>
      </c>
    </row>
    <row r="13" ht="15.75" customHeight="1" thickBot="1">
      <c r="A13" s="28" t="inlineStr">
        <is>
          <t>L</t>
        </is>
      </c>
      <c r="B13" s="29" t="n"/>
      <c r="C13" s="30" t="inlineStr">
        <is>
          <t>u(L)</t>
        </is>
      </c>
      <c r="D13" s="29" t="n"/>
      <c r="E13" s="37" t="inlineStr">
        <is>
          <t>m</t>
        </is>
      </c>
    </row>
    <row r="14">
      <c r="A14" s="58" t="inlineStr">
        <is>
          <t>g</t>
        </is>
      </c>
      <c r="B14" t="n">
        <v>9.81</v>
      </c>
      <c r="E14" s="59" t="inlineStr">
        <is>
          <t>m/s^2</t>
        </is>
      </c>
    </row>
    <row r="16">
      <c r="A16" s="58" t="inlineStr">
        <is>
          <t>Expected slope</t>
        </is>
      </c>
      <c r="B16" t="n">
        <v>0.5</v>
      </c>
    </row>
    <row r="17">
      <c r="A17" s="58" t="inlineStr">
        <is>
          <t>Expected intercept -0.5ln(μ)</t>
        </is>
      </c>
      <c r="B17">
        <f>-0.5*LN(B12)</f>
        <v/>
      </c>
      <c r="C17" s="58" t="inlineStr">
        <is>
          <t>u(intercept)</t>
        </is>
      </c>
      <c r="D17">
        <f>0.5*D12/B12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Victoria Foss</dc:creator>
  <dcterms:created xmlns:dcterms="http://purl.org/dc/terms/" xmlns:xsi="http://www.w3.org/2001/XMLSchema-instance" xsi:type="dcterms:W3CDTF">2018-09-24T23:20:03Z</dcterms:created>
  <dcterms:modified xmlns:dcterms="http://purl.org/dc/terms/" xmlns:xsi="http://www.w3.org/2001/XMLSchema-instance" xsi:type="dcterms:W3CDTF">2026-10-29T21:10:16Z</dcterms:modified>
  <cp:lastModifiedBy>vfoss</cp:lastModifiedBy>
</cp:coreProperties>
</file>