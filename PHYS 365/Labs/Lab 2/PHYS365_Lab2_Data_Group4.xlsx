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abdelrahman_elsayed_ucalgary_ca/Documents/"/>
    </mc:Choice>
  </mc:AlternateContent>
  <xr:revisionPtr revIDLastSave="0" documentId="8_{0F805B89-2903-41A8-8DBE-FD6A1E860CC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ngle Glider" sheetId="8" r:id="rId1"/>
    <sheet name="Sheet1" sheetId="10" r:id="rId2"/>
    <sheet name="Glider with Additional Mass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8" l="1"/>
  <c r="K17" i="9"/>
  <c r="J17" i="9"/>
  <c r="H17" i="9" a="1"/>
  <c r="H17" i="9"/>
  <c r="K17" i="8"/>
  <c r="J17" i="8"/>
  <c r="H17" i="8" a="1"/>
  <c r="H17" i="8"/>
  <c r="J18" i="9"/>
  <c r="H18" i="9" a="1"/>
  <c r="H18" i="9"/>
  <c r="J18" i="8"/>
  <c r="H18" i="8" a="1"/>
  <c r="H18" i="8"/>
  <c r="B1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<sst xmlns="http://schemas.openxmlformats.org/spreadsheetml/2006/main" count="84" uniqueCount="53">
  <si>
    <t>Glider Without Additional Mass</t>
  </si>
  <si>
    <t>Measurement</t>
  </si>
  <si>
    <t>Units</t>
  </si>
  <si>
    <r>
      <t xml:space="preserve">Slope and y-intercept based on </t>
    </r>
    <r>
      <rPr>
        <b/>
        <i/>
        <sz val="11"/>
        <color theme="1"/>
        <rFont val="Calibri"/>
        <family val="2"/>
        <scheme val="minor"/>
      </rPr>
      <t>a(x)</t>
    </r>
    <r>
      <rPr>
        <b/>
        <sz val="11"/>
        <color theme="1"/>
        <rFont val="Calibri"/>
        <family val="2"/>
        <scheme val="minor"/>
      </rPr>
      <t xml:space="preserve"> graph fitting</t>
    </r>
  </si>
  <si>
    <r>
      <t xml:space="preserve">Glider Mass                 </t>
    </r>
    <r>
      <rPr>
        <b/>
        <i/>
        <sz val="11"/>
        <color theme="1"/>
        <rFont val="Calibri"/>
        <family val="2"/>
        <scheme val="minor"/>
      </rPr>
      <t>m</t>
    </r>
  </si>
  <si>
    <t>gram</t>
  </si>
  <si>
    <t xml:space="preserve">slope </t>
  </si>
  <si>
    <t>u(slope)</t>
  </si>
  <si>
    <r>
      <rPr>
        <b/>
        <i/>
        <sz val="11"/>
        <color theme="1"/>
        <rFont val="Calibri"/>
        <family val="2"/>
        <scheme val="minor"/>
      </rPr>
      <t>y</t>
    </r>
    <r>
      <rPr>
        <b/>
        <sz val="11"/>
        <color theme="1"/>
        <rFont val="Calibri"/>
        <family val="2"/>
        <scheme val="minor"/>
      </rPr>
      <t>-intercept</t>
    </r>
  </si>
  <si>
    <t>u(y-int)</t>
  </si>
  <si>
    <r>
      <t xml:space="preserve">Uncertainty in Mass </t>
    </r>
    <r>
      <rPr>
        <b/>
        <i/>
        <sz val="11"/>
        <color theme="1"/>
        <rFont val="Calibri"/>
        <family val="2"/>
        <scheme val="minor"/>
      </rPr>
      <t>u(m)</t>
    </r>
  </si>
  <si>
    <t>x is displacement, y is acceleration</t>
  </si>
  <si>
    <t>Period of Oscillation from "Examine"</t>
  </si>
  <si>
    <t>Period of Oscillation</t>
  </si>
  <si>
    <t>Sampling Rate</t>
  </si>
  <si>
    <t>Uncertainty in Period</t>
  </si>
  <si>
    <t xml:space="preserve">Period Determined from "Analysis" Fitting a Cosine Curve to x(t) graphs Constants </t>
  </si>
  <si>
    <t>(s)</t>
  </si>
  <si>
    <t>(1/s)</t>
  </si>
  <si>
    <t>A</t>
  </si>
  <si>
    <t>B</t>
  </si>
  <si>
    <t>C</t>
  </si>
  <si>
    <t>D</t>
  </si>
  <si>
    <t>T</t>
  </si>
  <si>
    <t>t</t>
  </si>
  <si>
    <t>t is the total time of measurement</t>
  </si>
  <si>
    <t>Trial 1</t>
  </si>
  <si>
    <t>Trial 2</t>
  </si>
  <si>
    <t>Trial 3</t>
  </si>
  <si>
    <t>Trial 4</t>
  </si>
  <si>
    <t>Trial 5</t>
  </si>
  <si>
    <r>
      <t xml:space="preserve">Mean of </t>
    </r>
    <r>
      <rPr>
        <b/>
        <i/>
        <sz val="11"/>
        <color theme="1"/>
        <rFont val="Calibri"/>
        <family val="2"/>
        <scheme val="minor"/>
      </rPr>
      <t>C</t>
    </r>
  </si>
  <si>
    <r>
      <t xml:space="preserve">Mean of </t>
    </r>
    <r>
      <rPr>
        <b/>
        <i/>
        <sz val="11"/>
        <color theme="1"/>
        <rFont val="Calibri"/>
        <family val="2"/>
        <scheme val="minor"/>
      </rPr>
      <t>T</t>
    </r>
  </si>
  <si>
    <r>
      <t xml:space="preserve">Mean of </t>
    </r>
    <r>
      <rPr>
        <b/>
        <i/>
        <sz val="11"/>
        <color theme="1"/>
        <rFont val="Calibri"/>
        <family val="2"/>
        <scheme val="minor"/>
      </rPr>
      <t>t</t>
    </r>
  </si>
  <si>
    <r>
      <t>u</t>
    </r>
    <r>
      <rPr>
        <b/>
        <i/>
        <vertAlign val="subscript"/>
        <sz val="11"/>
        <color theme="1"/>
        <rFont val="Calibri"/>
        <family val="2"/>
        <scheme val="minor"/>
      </rPr>
      <t>A</t>
    </r>
    <r>
      <rPr>
        <b/>
        <i/>
        <sz val="11"/>
        <color theme="1"/>
        <rFont val="Calibri"/>
        <family val="2"/>
        <scheme val="minor"/>
      </rPr>
      <t>(C)</t>
    </r>
  </si>
  <si>
    <t>u(T)</t>
  </si>
  <si>
    <t>u(t)</t>
  </si>
  <si>
    <t>Does the value in cell J17 match the value in cell A11?</t>
  </si>
  <si>
    <t>Fit with A+B*Cos(C*t+D)</t>
  </si>
  <si>
    <t>Type A Uk</t>
  </si>
  <si>
    <t>Uw</t>
  </si>
  <si>
    <t>Um</t>
  </si>
  <si>
    <t>Uk</t>
  </si>
  <si>
    <t>Type b U</t>
  </si>
  <si>
    <t>Type A U</t>
  </si>
  <si>
    <t>Uwm1</t>
  </si>
  <si>
    <t>Ukm1</t>
  </si>
  <si>
    <t>Uwm2</t>
  </si>
  <si>
    <t>Ukm2</t>
  </si>
  <si>
    <r>
      <t xml:space="preserve">Glider With Additional Mass </t>
    </r>
    <r>
      <rPr>
        <b/>
        <i/>
        <sz val="11"/>
        <color theme="1"/>
        <rFont val="Calibri"/>
        <family val="2"/>
        <scheme val="minor"/>
      </rPr>
      <t>m'</t>
    </r>
  </si>
  <si>
    <r>
      <t xml:space="preserve">Additional Mass </t>
    </r>
    <r>
      <rPr>
        <b/>
        <i/>
        <sz val="11"/>
        <color theme="1"/>
        <rFont val="Calibri"/>
        <family val="2"/>
        <scheme val="minor"/>
      </rPr>
      <t>m'</t>
    </r>
  </si>
  <si>
    <t>grams</t>
  </si>
  <si>
    <r>
      <t xml:space="preserve">Uncertainty in Mass </t>
    </r>
    <r>
      <rPr>
        <b/>
        <i/>
        <sz val="11"/>
        <color theme="1"/>
        <rFont val="Calibri"/>
        <family val="2"/>
        <scheme val="minor"/>
      </rPr>
      <t>u(m')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</si>
</sst>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11" fontId="0" fillId="0" borderId="0" xfId="0" applyNumberFormat="1"/>
    <xf numFmtId="0" fontId="1" fillId="3" borderId="0" xfId="0" applyFont="1" applyFill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18</xdr:row>
      <xdr:rowOff>85725</xdr:rowOff>
    </xdr:from>
    <xdr:ext cx="847604" cy="3540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6000750" y="5905500"/>
              <a:ext cx="847604" cy="354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</m:d>
                    <m:r>
                      <a:rPr lang="en-CA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CA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CA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6000750" y="5905500"/>
              <a:ext cx="847604" cy="354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b="0" i="0">
                  <a:latin typeface="Cambria Math" panose="02040503050406030204" pitchFamily="18" charset="0"/>
                </a:rPr>
                <a:t>𝑢_𝐴 (𝐶)=(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𝑠(𝐶))/√</a:t>
              </a:r>
              <a:r>
                <a:rPr lang="en-CA" sz="1100" b="0" i="0">
                  <a:latin typeface="Cambria Math" panose="02040503050406030204" pitchFamily="18" charset="0"/>
                </a:rPr>
                <a:t>𝑛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676275</xdr:colOff>
      <xdr:row>18</xdr:row>
      <xdr:rowOff>104775</xdr:rowOff>
    </xdr:from>
    <xdr:ext cx="847604" cy="3540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5572125" y="5238750"/>
              <a:ext cx="847604" cy="354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ar-AE" sz="1100" b="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﷐𝑢﷮𝐴﷯﷐𝐶﷯=﷐𝑠(𝐶)﷮﷐﷮𝑛﷯﷯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5572125" y="5238750"/>
              <a:ext cx="847604" cy="354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b="0" i="0">
                  <a:latin typeface="Cambria Math" panose="02040503050406030204" pitchFamily="18" charset="0"/>
                </a:rPr>
                <a:t>𝑢_𝐴 (𝐶)=(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𝑠(𝐶))/√</a:t>
              </a:r>
              <a:r>
                <a:rPr lang="en-CA" sz="1100" b="0" i="0">
                  <a:latin typeface="Cambria Math" panose="02040503050406030204" pitchFamily="18" charset="0"/>
                </a:rPr>
                <a:t>𝑛</a:t>
              </a:r>
              <a:endParaRPr lang="en-CA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J16" sqref="J16"/>
    </sheetView>
  </sheetViews>
  <sheetFormatPr defaultColWidth="11.42578125" defaultRowHeight="14.25"/>
  <cols>
    <col min="1" max="1" width="26.85546875" customWidth="1"/>
    <col min="2" max="2" width="13.7109375" bestFit="1" customWidth="1"/>
    <col min="3" max="3" width="20.140625" bestFit="1" customWidth="1"/>
    <col min="12" max="12" width="27.85546875" customWidth="1"/>
  </cols>
  <sheetData>
    <row r="1" spans="1:15" ht="1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3" spans="1:15" ht="15">
      <c r="A3" s="7"/>
      <c r="B3" s="5" t="s">
        <v>1</v>
      </c>
      <c r="C3" s="5" t="s">
        <v>2</v>
      </c>
      <c r="E3" s="29" t="s">
        <v>3</v>
      </c>
      <c r="F3" s="29"/>
      <c r="G3" s="29"/>
      <c r="H3" s="29"/>
    </row>
    <row r="4" spans="1:15" ht="15">
      <c r="A4" s="5" t="s">
        <v>4</v>
      </c>
      <c r="B4" s="19">
        <v>241</v>
      </c>
      <c r="C4" s="6" t="s">
        <v>5</v>
      </c>
      <c r="E4" s="3" t="s">
        <v>6</v>
      </c>
      <c r="F4" s="3" t="s">
        <v>7</v>
      </c>
      <c r="G4" s="3" t="s">
        <v>8</v>
      </c>
      <c r="H4" s="16" t="s">
        <v>9</v>
      </c>
    </row>
    <row r="5" spans="1:15" ht="15">
      <c r="A5" s="5" t="s">
        <v>10</v>
      </c>
      <c r="B5" s="6">
        <v>0.05</v>
      </c>
      <c r="C5" s="6" t="s">
        <v>5</v>
      </c>
      <c r="E5" s="6">
        <v>-23.68</v>
      </c>
      <c r="F5" s="6">
        <v>0.5665</v>
      </c>
      <c r="G5" s="6">
        <v>17.48</v>
      </c>
      <c r="H5" s="6">
        <v>0.39760000000000001</v>
      </c>
    </row>
    <row r="6" spans="1:15" ht="15" customHeight="1">
      <c r="G6" s="25" t="s">
        <v>11</v>
      </c>
      <c r="H6" s="25"/>
    </row>
    <row r="7" spans="1:15" ht="15" customHeight="1">
      <c r="A7" s="29" t="s">
        <v>12</v>
      </c>
      <c r="B7" s="29"/>
      <c r="C7" s="29"/>
      <c r="G7" s="26"/>
      <c r="H7" s="26"/>
      <c r="L7" s="9"/>
      <c r="M7" s="9"/>
      <c r="N7" s="9"/>
      <c r="O7" s="9"/>
    </row>
    <row r="9" spans="1:15">
      <c r="A9" s="3" t="s">
        <v>13</v>
      </c>
      <c r="B9" s="3" t="s">
        <v>14</v>
      </c>
      <c r="C9" s="3" t="s">
        <v>15</v>
      </c>
      <c r="E9" s="29" t="s">
        <v>16</v>
      </c>
      <c r="F9" s="29"/>
      <c r="G9" s="29"/>
      <c r="H9" s="29"/>
      <c r="I9" s="29"/>
      <c r="J9" s="29"/>
      <c r="K9" s="29"/>
    </row>
    <row r="10" spans="1:15">
      <c r="A10" s="3" t="s">
        <v>17</v>
      </c>
      <c r="B10" s="3" t="s">
        <v>18</v>
      </c>
      <c r="C10" s="3" t="s">
        <v>17</v>
      </c>
      <c r="E10" s="30"/>
      <c r="F10" s="30"/>
      <c r="G10" s="30"/>
      <c r="H10" s="30"/>
      <c r="I10" s="30"/>
      <c r="J10" s="30"/>
      <c r="K10" s="30"/>
    </row>
    <row r="11" spans="1:15" ht="15">
      <c r="A11" s="6">
        <v>1.22</v>
      </c>
      <c r="B11" s="6">
        <f>1/0.05</f>
        <v>20</v>
      </c>
      <c r="C11" s="6">
        <v>0.05</v>
      </c>
      <c r="E11" s="8"/>
      <c r="F11" s="4" t="s">
        <v>19</v>
      </c>
      <c r="G11" s="4" t="s">
        <v>20</v>
      </c>
      <c r="H11" s="4" t="s">
        <v>21</v>
      </c>
      <c r="I11" s="4" t="s">
        <v>22</v>
      </c>
      <c r="J11" s="5" t="s">
        <v>23</v>
      </c>
      <c r="K11" s="4" t="s">
        <v>24</v>
      </c>
      <c r="L11" s="31" t="s">
        <v>25</v>
      </c>
      <c r="M11" s="32"/>
    </row>
    <row r="12" spans="1:15" ht="15" customHeight="1">
      <c r="E12" s="5" t="s">
        <v>26</v>
      </c>
      <c r="F12" s="6">
        <v>4.2889999999999998E-2</v>
      </c>
      <c r="G12" s="6">
        <v>2.4609999999999999</v>
      </c>
      <c r="H12" s="21">
        <v>5.1020000000000003</v>
      </c>
      <c r="I12" s="6">
        <v>2.9279999999999999</v>
      </c>
      <c r="J12" s="6">
        <v>1.22</v>
      </c>
      <c r="K12" s="20">
        <v>3.4</v>
      </c>
    </row>
    <row r="13" spans="1:15">
      <c r="A13" s="1"/>
      <c r="B13" s="1"/>
      <c r="C13" s="1"/>
      <c r="E13" s="5" t="s">
        <v>27</v>
      </c>
      <c r="F13" s="6">
        <v>0.7349</v>
      </c>
      <c r="G13" s="6">
        <v>0.1585</v>
      </c>
      <c r="H13" s="21">
        <v>5.1079999999999997</v>
      </c>
      <c r="I13" s="6">
        <v>-5.931</v>
      </c>
      <c r="J13" s="6">
        <v>1.23</v>
      </c>
      <c r="K13" s="20">
        <v>4.95</v>
      </c>
    </row>
    <row r="14" spans="1:15" ht="15">
      <c r="E14" s="5" t="s">
        <v>28</v>
      </c>
      <c r="F14" s="6">
        <v>0.73580000000000001</v>
      </c>
      <c r="G14" s="6">
        <v>0.1605</v>
      </c>
      <c r="H14" s="21">
        <v>5.0999999999999996</v>
      </c>
      <c r="I14" s="6">
        <v>-6.8970000000000002</v>
      </c>
      <c r="J14" s="6">
        <v>1.23</v>
      </c>
      <c r="K14" s="20">
        <v>4.9000000000000004</v>
      </c>
    </row>
    <row r="15" spans="1:15" ht="15">
      <c r="E15" s="5" t="s">
        <v>29</v>
      </c>
      <c r="F15" s="6">
        <v>0.73540000000000005</v>
      </c>
      <c r="G15" s="6">
        <v>0.16320000000000001</v>
      </c>
      <c r="H15" s="21">
        <v>5.0999999999999996</v>
      </c>
      <c r="I15" s="6">
        <v>-4.2610000000000001</v>
      </c>
      <c r="J15" s="6">
        <v>1.23</v>
      </c>
      <c r="K15" s="20">
        <v>4.8</v>
      </c>
    </row>
    <row r="16" spans="1:15" ht="15">
      <c r="E16" s="5" t="s">
        <v>30</v>
      </c>
      <c r="F16" s="6">
        <v>0.73499999999999999</v>
      </c>
      <c r="G16" s="6">
        <v>0.1573</v>
      </c>
      <c r="H16" s="21">
        <v>-5.0990000000000002</v>
      </c>
      <c r="I16" s="6">
        <v>-1.0189999999999999</v>
      </c>
      <c r="J16" s="6">
        <v>1.25</v>
      </c>
      <c r="K16" s="20">
        <v>4.95</v>
      </c>
    </row>
    <row r="17" spans="5:12" ht="15">
      <c r="E17" s="17"/>
      <c r="F17" s="17"/>
      <c r="G17" s="3" t="s">
        <v>31</v>
      </c>
      <c r="H17" s="12" cm="1">
        <f t="array" ref="H17">AVERAGE(ABS(H12:H16))</f>
        <v>5.1017999999999999</v>
      </c>
      <c r="I17" s="3" t="s">
        <v>32</v>
      </c>
      <c r="J17" s="12">
        <f>AVERAGE(J12:J16)</f>
        <v>1.232</v>
      </c>
      <c r="K17" s="22">
        <f>AVERAGE(K12:K16)</f>
        <v>4.5999999999999996</v>
      </c>
      <c r="L17" s="3" t="s">
        <v>33</v>
      </c>
    </row>
    <row r="18" spans="5:12" ht="15">
      <c r="E18" s="11"/>
      <c r="F18" s="18"/>
      <c r="G18" s="14" t="s">
        <v>34</v>
      </c>
      <c r="H18" s="6" cm="1">
        <f t="array" ref="H18">_xlfn.STDEV.S(ABS(H12:H16)) / SQRT(5)</f>
        <v>1.6248076809271495E-3</v>
      </c>
      <c r="I18" s="15" t="s">
        <v>35</v>
      </c>
      <c r="J18" s="6">
        <f>_xlfn.STDEV.S(J12:J16) / SQRT(5)</f>
        <v>4.89897948556636E-3</v>
      </c>
      <c r="K18" s="6">
        <f>_xlfn.STDEV.S(K12:K16) / SQRT(5)</f>
        <v>0.30124740662784233</v>
      </c>
      <c r="L18" s="15" t="s">
        <v>36</v>
      </c>
    </row>
    <row r="19" spans="5:12" ht="30" customHeight="1">
      <c r="J19" s="27" t="s">
        <v>37</v>
      </c>
    </row>
    <row r="20" spans="5:12">
      <c r="J20" s="28"/>
    </row>
    <row r="21" spans="5:12">
      <c r="G21" s="13" t="s">
        <v>38</v>
      </c>
      <c r="J21" s="28"/>
    </row>
    <row r="22" spans="5:12">
      <c r="J22" s="28"/>
    </row>
    <row r="23" spans="5:12">
      <c r="L23" s="13"/>
    </row>
    <row r="26" spans="5:12">
      <c r="K26" s="13"/>
    </row>
  </sheetData>
  <mergeCells count="7">
    <mergeCell ref="A1:J1"/>
    <mergeCell ref="G6:H7"/>
    <mergeCell ref="J19:J22"/>
    <mergeCell ref="E9:K10"/>
    <mergeCell ref="L11:M11"/>
    <mergeCell ref="A7:C7"/>
    <mergeCell ref="E3:H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3797-FABA-48BA-9D81-D5071C33E0A9}">
  <dimension ref="B1:G9"/>
  <sheetViews>
    <sheetView workbookViewId="0">
      <selection activeCell="F9" sqref="F9"/>
    </sheetView>
  </sheetViews>
  <sheetFormatPr defaultRowHeight="15"/>
  <cols>
    <col min="3" max="3" width="9.28515625" bestFit="1" customWidth="1"/>
  </cols>
  <sheetData>
    <row r="1" spans="2:7">
      <c r="G1" t="s">
        <v>39</v>
      </c>
    </row>
    <row r="2" spans="2:7">
      <c r="G2">
        <v>2.5647500000000001</v>
      </c>
    </row>
    <row r="3" spans="2:7">
      <c r="B3" t="s">
        <v>40</v>
      </c>
      <c r="C3" s="23">
        <v>2.9759999999999999E-3</v>
      </c>
    </row>
    <row r="4" spans="2:7">
      <c r="B4" t="s">
        <v>41</v>
      </c>
      <c r="C4">
        <v>0.05</v>
      </c>
    </row>
    <row r="5" spans="2:7">
      <c r="B5" t="s">
        <v>42</v>
      </c>
      <c r="C5">
        <v>2.4594</v>
      </c>
      <c r="D5">
        <v>2.6701000000000001</v>
      </c>
      <c r="E5">
        <v>2.5647500000000001</v>
      </c>
    </row>
    <row r="7" spans="2:7">
      <c r="B7" t="s">
        <v>43</v>
      </c>
      <c r="E7" t="s">
        <v>44</v>
      </c>
    </row>
    <row r="8" spans="2:7">
      <c r="B8" t="s">
        <v>45</v>
      </c>
      <c r="C8">
        <v>1.0999999999999999E-2</v>
      </c>
      <c r="E8" t="s">
        <v>46</v>
      </c>
    </row>
    <row r="9" spans="2:7">
      <c r="B9" t="s">
        <v>47</v>
      </c>
      <c r="C9">
        <v>9.5750000000000002E-3</v>
      </c>
      <c r="E9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K15" sqref="K15"/>
    </sheetView>
  </sheetViews>
  <sheetFormatPr defaultColWidth="11.42578125" defaultRowHeight="14.25"/>
  <cols>
    <col min="1" max="1" width="26" customWidth="1"/>
    <col min="2" max="3" width="16.85546875" customWidth="1"/>
    <col min="9" max="9" width="11.42578125" customWidth="1"/>
    <col min="12" max="12" width="25.5703125" customWidth="1"/>
  </cols>
  <sheetData>
    <row r="1" spans="1:13" ht="15" customHeight="1">
      <c r="A1" s="24" t="s">
        <v>49</v>
      </c>
      <c r="B1" s="24"/>
      <c r="C1" s="24"/>
      <c r="D1" s="24"/>
      <c r="E1" s="24"/>
      <c r="F1" s="24"/>
      <c r="G1" s="24"/>
      <c r="H1" s="24"/>
      <c r="I1" s="24"/>
    </row>
    <row r="3" spans="1:13" ht="15">
      <c r="A3" s="7"/>
      <c r="B3" s="5" t="s">
        <v>1</v>
      </c>
      <c r="C3" s="5" t="s">
        <v>2</v>
      </c>
      <c r="E3" s="29" t="s">
        <v>3</v>
      </c>
      <c r="F3" s="29"/>
      <c r="G3" s="29"/>
      <c r="H3" s="29"/>
    </row>
    <row r="4" spans="1:13" ht="15">
      <c r="A4" s="5" t="s">
        <v>50</v>
      </c>
      <c r="B4" s="6">
        <v>281.10000000000002</v>
      </c>
      <c r="C4" s="6" t="s">
        <v>51</v>
      </c>
      <c r="E4" s="3" t="s">
        <v>6</v>
      </c>
      <c r="F4" s="3" t="s">
        <v>7</v>
      </c>
      <c r="G4" s="3" t="s">
        <v>8</v>
      </c>
      <c r="H4" s="16" t="s">
        <v>9</v>
      </c>
    </row>
    <row r="5" spans="1:13" ht="15">
      <c r="A5" s="5" t="s">
        <v>52</v>
      </c>
      <c r="B5" s="6">
        <v>0.05</v>
      </c>
      <c r="C5" s="6" t="s">
        <v>51</v>
      </c>
      <c r="E5" s="6">
        <v>-20.09</v>
      </c>
      <c r="F5" s="6">
        <v>0.30790000000000001</v>
      </c>
      <c r="G5" s="6">
        <v>14.79</v>
      </c>
      <c r="H5" s="6">
        <v>0.21429999999999999</v>
      </c>
    </row>
    <row r="6" spans="1:13" ht="15" customHeight="1">
      <c r="G6" s="25" t="s">
        <v>11</v>
      </c>
      <c r="H6" s="25"/>
    </row>
    <row r="7" spans="1:13">
      <c r="G7" s="26"/>
      <c r="H7" s="26"/>
    </row>
    <row r="9" spans="1:13" ht="15" customHeight="1">
      <c r="E9" s="29" t="s">
        <v>16</v>
      </c>
      <c r="F9" s="29"/>
      <c r="G9" s="29"/>
      <c r="H9" s="29"/>
      <c r="I9" s="29"/>
      <c r="J9" s="29"/>
      <c r="K9" s="29"/>
    </row>
    <row r="10" spans="1:13">
      <c r="E10" s="30"/>
      <c r="F10" s="30"/>
      <c r="G10" s="30"/>
      <c r="H10" s="30"/>
      <c r="I10" s="30"/>
      <c r="J10" s="30"/>
      <c r="K10" s="30"/>
    </row>
    <row r="11" spans="1:13" ht="15" customHeight="1">
      <c r="E11" s="8"/>
      <c r="F11" s="4" t="s">
        <v>19</v>
      </c>
      <c r="G11" s="4" t="s">
        <v>20</v>
      </c>
      <c r="H11" s="4" t="s">
        <v>21</v>
      </c>
      <c r="I11" s="4" t="s">
        <v>22</v>
      </c>
      <c r="J11" s="5" t="s">
        <v>23</v>
      </c>
      <c r="K11" s="4" t="s">
        <v>24</v>
      </c>
      <c r="L11" s="31" t="s">
        <v>25</v>
      </c>
      <c r="M11" s="32"/>
    </row>
    <row r="12" spans="1:13" ht="15" customHeight="1">
      <c r="D12" s="10"/>
      <c r="E12" s="5" t="s">
        <v>26</v>
      </c>
      <c r="F12" s="6">
        <v>0.73580000000000001</v>
      </c>
      <c r="G12" s="6">
        <v>0.16170000000000001</v>
      </c>
      <c r="H12" s="6">
        <v>4.7460000000000004</v>
      </c>
      <c r="I12" s="6">
        <v>4.9649999999999999</v>
      </c>
      <c r="J12" s="20">
        <v>1.35</v>
      </c>
      <c r="K12" s="20">
        <v>4.95</v>
      </c>
      <c r="L12" s="31"/>
      <c r="M12" s="32"/>
    </row>
    <row r="13" spans="1:13">
      <c r="D13" s="2"/>
      <c r="E13" s="5" t="s">
        <v>27</v>
      </c>
      <c r="F13" s="6">
        <v>0.73519999999999996</v>
      </c>
      <c r="G13" s="6">
        <v>0.14480000000000001</v>
      </c>
      <c r="H13" s="6">
        <v>-4.7530000000000001</v>
      </c>
      <c r="I13" s="6">
        <v>-3.03</v>
      </c>
      <c r="J13" s="20">
        <v>1.33</v>
      </c>
      <c r="K13" s="20">
        <v>5</v>
      </c>
      <c r="L13" s="31"/>
      <c r="M13" s="32"/>
    </row>
    <row r="14" spans="1:13" ht="15">
      <c r="E14" s="5" t="s">
        <v>28</v>
      </c>
      <c r="F14" s="6">
        <v>0.73519999999999996</v>
      </c>
      <c r="G14" s="6">
        <v>0.1482</v>
      </c>
      <c r="H14" s="6">
        <v>4.7480000000000002</v>
      </c>
      <c r="I14" s="6">
        <v>-3.1440000000000001</v>
      </c>
      <c r="J14" s="20">
        <v>1.32</v>
      </c>
      <c r="K14" s="20">
        <v>4.95</v>
      </c>
    </row>
    <row r="15" spans="1:13" ht="15">
      <c r="E15" s="5" t="s">
        <v>29</v>
      </c>
      <c r="F15" s="6">
        <v>0.73470000000000002</v>
      </c>
      <c r="G15" s="6">
        <v>0.16539999999999999</v>
      </c>
      <c r="H15" s="6">
        <v>4.7480000000000002</v>
      </c>
      <c r="I15" s="6">
        <v>-4.0549999999999997</v>
      </c>
      <c r="J15" s="20">
        <v>1.32</v>
      </c>
      <c r="K15" s="20">
        <v>4.95</v>
      </c>
    </row>
    <row r="16" spans="1:13" ht="15">
      <c r="E16" s="5" t="s">
        <v>30</v>
      </c>
      <c r="F16" s="6">
        <v>0.73540000000000005</v>
      </c>
      <c r="G16" s="6">
        <v>-0.16289999999999999</v>
      </c>
      <c r="H16" s="6">
        <v>-4.7519999999999998</v>
      </c>
      <c r="I16" s="6">
        <v>2.7839999999999998</v>
      </c>
      <c r="J16" s="20">
        <v>1.33</v>
      </c>
      <c r="K16" s="20">
        <v>4.96</v>
      </c>
    </row>
    <row r="17" spans="5:12" ht="15">
      <c r="E17" s="17"/>
      <c r="F17" s="17"/>
      <c r="G17" s="3" t="s">
        <v>31</v>
      </c>
      <c r="H17" s="12" cm="1">
        <f t="array" ref="H17">AVERAGE(ABS(H12:H16))</f>
        <v>4.7493999999999996</v>
      </c>
      <c r="I17" s="3" t="s">
        <v>32</v>
      </c>
      <c r="J17" s="22">
        <f>AVERAGE(J12:J16)</f>
        <v>1.33</v>
      </c>
      <c r="K17" s="22">
        <f>AVERAGE(K12:K16)</f>
        <v>4.9619999999999997</v>
      </c>
      <c r="L17" s="3" t="s">
        <v>33</v>
      </c>
    </row>
    <row r="18" spans="5:12" ht="15">
      <c r="E18" s="11"/>
      <c r="F18" s="18"/>
      <c r="G18" s="14" t="s">
        <v>34</v>
      </c>
      <c r="H18" s="6" cm="1">
        <f t="array" ref="H18">_xlfn.STDEV.S(ABS(H12:H16)) / SQRT(5)</f>
        <v>1.3266499161420742E-3</v>
      </c>
      <c r="I18" s="15" t="s">
        <v>35</v>
      </c>
      <c r="J18" s="6">
        <f>_xlfn.STDEV.S(J12:J16) / SQRT(5)</f>
        <v>5.4772255750516656E-3</v>
      </c>
      <c r="K18" s="6">
        <v>0.01</v>
      </c>
      <c r="L18" s="15" t="s">
        <v>36</v>
      </c>
    </row>
    <row r="19" spans="5:12" ht="30" customHeight="1"/>
    <row r="20" spans="5:12">
      <c r="F20" s="13"/>
    </row>
    <row r="21" spans="5:12">
      <c r="G21" s="13" t="s">
        <v>38</v>
      </c>
    </row>
    <row r="26" spans="5:12">
      <c r="J26" s="13"/>
    </row>
  </sheetData>
  <mergeCells count="5">
    <mergeCell ref="L11:M13"/>
    <mergeCell ref="E3:H3"/>
    <mergeCell ref="A1:I1"/>
    <mergeCell ref="G6:H7"/>
    <mergeCell ref="E9:K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060C9428653149BF89F78307FE8A80" ma:contentTypeVersion="10" ma:contentTypeDescription="Create a new document." ma:contentTypeScope="" ma:versionID="1e7b8efbc076ac1c8125e71cdc944ea1">
  <xsd:schema xmlns:xsd="http://www.w3.org/2001/XMLSchema" xmlns:xs="http://www.w3.org/2001/XMLSchema" xmlns:p="http://schemas.microsoft.com/office/2006/metadata/properties" xmlns:ns3="38ae49a9-4612-404a-be9b-9e424eb085ba" targetNamespace="http://schemas.microsoft.com/office/2006/metadata/properties" ma:root="true" ma:fieldsID="398d09f59a071ad7fc1357369629446c" ns3:_="">
    <xsd:import namespace="38ae49a9-4612-404a-be9b-9e424eb085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e49a9-4612-404a-be9b-9e424eb085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ae49a9-4612-404a-be9b-9e424eb085b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B44FEF-9A1E-4010-89DE-2CFB0CF9CF57}"/>
</file>

<file path=customXml/itemProps2.xml><?xml version="1.0" encoding="utf-8"?>
<ds:datastoreItem xmlns:ds="http://schemas.openxmlformats.org/officeDocument/2006/customXml" ds:itemID="{94BDB90D-DE04-4996-A2D1-4791B74D4066}"/>
</file>

<file path=customXml/itemProps3.xml><?xml version="1.0" encoding="utf-8"?>
<ds:datastoreItem xmlns:ds="http://schemas.openxmlformats.org/officeDocument/2006/customXml" ds:itemID="{6C69BA83-3462-4475-AAA7-8B194F594F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Calgary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Harlick</dc:creator>
  <cp:keywords/>
  <dc:description/>
  <cp:lastModifiedBy/>
  <cp:revision/>
  <dcterms:created xsi:type="dcterms:W3CDTF">2018-07-31T19:47:19Z</dcterms:created>
  <dcterms:modified xsi:type="dcterms:W3CDTF">2026-10-16T03:11:12Z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0x01010068060C9428653149BF89F78307FE8A80</vt:lpwstr>
  </property>
</Properties>
</file>